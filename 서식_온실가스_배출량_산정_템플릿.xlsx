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in\Desktop\"/>
    </mc:Choice>
  </mc:AlternateContent>
  <xr:revisionPtr revIDLastSave="0" documentId="8_{91ACAC9D-8CD2-4250-B49C-9FA9C40740F2}" xr6:coauthVersionLast="47" xr6:coauthVersionMax="47" xr10:uidLastSave="{00000000-0000-0000-0000-000000000000}"/>
  <bookViews>
    <workbookView xWindow="-108" yWindow="-108" windowWidth="23256" windowHeight="12576" tabRatio="500" firstSheet="1" activeTab="6" xr2:uid="{00000000-000D-0000-FFFF-FFFF00000000}"/>
  </bookViews>
  <sheets>
    <sheet name="①사용안내_범례" sheetId="1" r:id="rId1"/>
    <sheet name="②배출계수_참조표" sheetId="2" r:id="rId2"/>
    <sheet name="③Scope1_고정연소" sheetId="3" r:id="rId3"/>
    <sheet name="④Scope1_이동연소" sheetId="4" r:id="rId4"/>
    <sheet name="⑤Scope2_전력" sheetId="5" r:id="rId5"/>
    <sheet name="⑥종합요약" sheetId="6" r:id="rId6"/>
    <sheet name="⑦근거조항" sheetId="7" r:id="rId7"/>
  </sheets>
  <definedNames>
    <definedName name="FUEL_TABLE">②배출계수_참조표!$B$7:$I$12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" i="5" l="1"/>
  <c r="F8" i="5" s="1"/>
  <c r="F13" i="5" s="1"/>
  <c r="D13" i="6" s="1"/>
  <c r="F7" i="5"/>
  <c r="F12" i="5" s="1"/>
  <c r="D9" i="6" s="1"/>
  <c r="S14" i="4"/>
  <c r="R14" i="4"/>
  <c r="L14" i="4"/>
  <c r="J14" i="4"/>
  <c r="H14" i="4"/>
  <c r="G14" i="4"/>
  <c r="E14" i="4"/>
  <c r="F14" i="4" s="1"/>
  <c r="K14" i="4" s="1"/>
  <c r="C14" i="4"/>
  <c r="S13" i="4"/>
  <c r="R13" i="4"/>
  <c r="L13" i="4"/>
  <c r="J13" i="4"/>
  <c r="H13" i="4"/>
  <c r="G13" i="4"/>
  <c r="E13" i="4"/>
  <c r="F13" i="4" s="1"/>
  <c r="K13" i="4" s="1"/>
  <c r="C13" i="4"/>
  <c r="S12" i="4"/>
  <c r="R12" i="4"/>
  <c r="L12" i="4"/>
  <c r="J12" i="4"/>
  <c r="H12" i="4"/>
  <c r="G12" i="4"/>
  <c r="E12" i="4"/>
  <c r="F12" i="4" s="1"/>
  <c r="K12" i="4" s="1"/>
  <c r="C12" i="4"/>
  <c r="S11" i="4"/>
  <c r="R11" i="4"/>
  <c r="L11" i="4"/>
  <c r="J11" i="4"/>
  <c r="H11" i="4"/>
  <c r="G11" i="4"/>
  <c r="E11" i="4"/>
  <c r="F11" i="4" s="1"/>
  <c r="K11" i="4" s="1"/>
  <c r="C11" i="4"/>
  <c r="L10" i="4"/>
  <c r="J10" i="4"/>
  <c r="H10" i="4"/>
  <c r="G10" i="4"/>
  <c r="E10" i="4"/>
  <c r="F10" i="4" s="1"/>
  <c r="K10" i="4" s="1"/>
  <c r="C10" i="4"/>
  <c r="L9" i="4"/>
  <c r="J9" i="4"/>
  <c r="H9" i="4"/>
  <c r="G9" i="4"/>
  <c r="F9" i="4"/>
  <c r="K9" i="4" s="1"/>
  <c r="E9" i="4"/>
  <c r="C9" i="4"/>
  <c r="L8" i="4"/>
  <c r="J8" i="4"/>
  <c r="H8" i="4"/>
  <c r="G8" i="4"/>
  <c r="E8" i="4"/>
  <c r="F8" i="4" s="1"/>
  <c r="K8" i="4" s="1"/>
  <c r="C8" i="4"/>
  <c r="S15" i="3"/>
  <c r="R15" i="3"/>
  <c r="L15" i="3"/>
  <c r="J15" i="3"/>
  <c r="H15" i="3"/>
  <c r="G15" i="3"/>
  <c r="E15" i="3"/>
  <c r="F15" i="3" s="1"/>
  <c r="K15" i="3" s="1"/>
  <c r="C15" i="3"/>
  <c r="S14" i="3"/>
  <c r="R14" i="3"/>
  <c r="L14" i="3"/>
  <c r="J14" i="3"/>
  <c r="H14" i="3"/>
  <c r="G14" i="3"/>
  <c r="E14" i="3"/>
  <c r="F14" i="3" s="1"/>
  <c r="K14" i="3" s="1"/>
  <c r="C14" i="3"/>
  <c r="S13" i="3"/>
  <c r="R13" i="3"/>
  <c r="L13" i="3"/>
  <c r="J13" i="3"/>
  <c r="H13" i="3"/>
  <c r="G13" i="3"/>
  <c r="E13" i="3"/>
  <c r="F13" i="3" s="1"/>
  <c r="K13" i="3" s="1"/>
  <c r="C13" i="3"/>
  <c r="S12" i="3"/>
  <c r="R12" i="3"/>
  <c r="L12" i="3"/>
  <c r="J12" i="3"/>
  <c r="H12" i="3"/>
  <c r="G12" i="3"/>
  <c r="E12" i="3"/>
  <c r="F12" i="3" s="1"/>
  <c r="K12" i="3" s="1"/>
  <c r="C12" i="3"/>
  <c r="L11" i="3"/>
  <c r="J11" i="3"/>
  <c r="H11" i="3"/>
  <c r="G11" i="3"/>
  <c r="F11" i="3"/>
  <c r="K11" i="3" s="1"/>
  <c r="E11" i="3"/>
  <c r="C11" i="3"/>
  <c r="L10" i="3"/>
  <c r="J10" i="3"/>
  <c r="H10" i="3"/>
  <c r="G10" i="3"/>
  <c r="E10" i="3"/>
  <c r="F10" i="3" s="1"/>
  <c r="K10" i="3" s="1"/>
  <c r="C10" i="3"/>
  <c r="L9" i="3"/>
  <c r="J9" i="3"/>
  <c r="H9" i="3"/>
  <c r="G9" i="3"/>
  <c r="E9" i="3"/>
  <c r="F9" i="3" s="1"/>
  <c r="K9" i="3" s="1"/>
  <c r="C9" i="3"/>
  <c r="L8" i="3"/>
  <c r="J8" i="3"/>
  <c r="H8" i="3"/>
  <c r="G8" i="3"/>
  <c r="E8" i="3"/>
  <c r="F8" i="3" s="1"/>
  <c r="K8" i="3" s="1"/>
  <c r="C8" i="3"/>
  <c r="I8" i="3" l="1"/>
  <c r="M8" i="3"/>
  <c r="I9" i="3"/>
  <c r="M9" i="3"/>
  <c r="I10" i="3"/>
  <c r="M10" i="3"/>
  <c r="I11" i="3"/>
  <c r="M11" i="3"/>
  <c r="I12" i="3"/>
  <c r="M12" i="3"/>
  <c r="I13" i="3"/>
  <c r="M13" i="3"/>
  <c r="I14" i="3"/>
  <c r="M14" i="3"/>
  <c r="I15" i="3"/>
  <c r="M15" i="3"/>
  <c r="I8" i="4"/>
  <c r="M8" i="4"/>
  <c r="I9" i="4"/>
  <c r="M9" i="4"/>
  <c r="I10" i="4"/>
  <c r="M10" i="4"/>
  <c r="I11" i="4"/>
  <c r="M11" i="4"/>
  <c r="I12" i="4"/>
  <c r="M12" i="4"/>
  <c r="I13" i="4"/>
  <c r="M13" i="4"/>
  <c r="I14" i="4"/>
  <c r="M14" i="4"/>
  <c r="P11" i="4" l="1"/>
  <c r="Q11" i="4" s="1"/>
  <c r="N11" i="4"/>
  <c r="O11" i="4" s="1"/>
  <c r="P15" i="3"/>
  <c r="Q15" i="3" s="1"/>
  <c r="N15" i="3"/>
  <c r="O15" i="3" s="1"/>
  <c r="P13" i="3"/>
  <c r="Q13" i="3" s="1"/>
  <c r="N13" i="3"/>
  <c r="O13" i="3" s="1"/>
  <c r="P11" i="3"/>
  <c r="Q11" i="3" s="1"/>
  <c r="R11" i="3"/>
  <c r="S11" i="3"/>
  <c r="N11" i="3"/>
  <c r="O11" i="3" s="1"/>
  <c r="P9" i="3"/>
  <c r="Q9" i="3" s="1"/>
  <c r="R9" i="3"/>
  <c r="N9" i="3"/>
  <c r="O9" i="3" s="1"/>
  <c r="S9" i="3"/>
  <c r="P13" i="4"/>
  <c r="Q13" i="4" s="1"/>
  <c r="N13" i="4"/>
  <c r="O13" i="4" s="1"/>
  <c r="P9" i="4"/>
  <c r="Q9" i="4" s="1"/>
  <c r="R9" i="4"/>
  <c r="N9" i="4"/>
  <c r="O9" i="4" s="1"/>
  <c r="S9" i="4"/>
  <c r="P14" i="4"/>
  <c r="Q14" i="4" s="1"/>
  <c r="N14" i="4"/>
  <c r="O14" i="4" s="1"/>
  <c r="P12" i="4"/>
  <c r="Q12" i="4" s="1"/>
  <c r="N12" i="4"/>
  <c r="O12" i="4" s="1"/>
  <c r="P10" i="4"/>
  <c r="Q10" i="4" s="1"/>
  <c r="N10" i="4"/>
  <c r="O10" i="4" s="1"/>
  <c r="R10" i="4"/>
  <c r="P8" i="4"/>
  <c r="S8" i="4"/>
  <c r="N8" i="4"/>
  <c r="R8" i="4" s="1"/>
  <c r="P14" i="3"/>
  <c r="Q14" i="3" s="1"/>
  <c r="N14" i="3"/>
  <c r="O14" i="3" s="1"/>
  <c r="P12" i="3"/>
  <c r="Q12" i="3" s="1"/>
  <c r="N12" i="3"/>
  <c r="O12" i="3" s="1"/>
  <c r="P10" i="3"/>
  <c r="Q10" i="3" s="1"/>
  <c r="S10" i="3"/>
  <c r="N10" i="3"/>
  <c r="O10" i="3" s="1"/>
  <c r="P8" i="3"/>
  <c r="N8" i="3"/>
  <c r="R8" i="3" s="1"/>
  <c r="S10" i="4" l="1"/>
  <c r="N16" i="3"/>
  <c r="O8" i="3"/>
  <c r="O16" i="3" s="1"/>
  <c r="D7" i="6" s="1"/>
  <c r="N15" i="4"/>
  <c r="O8" i="4"/>
  <c r="O15" i="4" s="1"/>
  <c r="D8" i="6" s="1"/>
  <c r="Q8" i="3"/>
  <c r="Q16" i="3" s="1"/>
  <c r="D16" i="6" s="1"/>
  <c r="P16" i="3"/>
  <c r="R10" i="3"/>
  <c r="S8" i="3"/>
  <c r="P15" i="4"/>
  <c r="Q8" i="4"/>
  <c r="Q15" i="4" s="1"/>
  <c r="D17" i="6" s="1"/>
  <c r="D10" i="6" l="1"/>
  <c r="D18" i="6"/>
</calcChain>
</file>

<file path=xl/sharedStrings.xml><?xml version="1.0" encoding="utf-8"?>
<sst xmlns="http://schemas.openxmlformats.org/spreadsheetml/2006/main" count="222" uniqueCount="169">
  <si>
    <r>
      <rPr>
        <b/>
        <sz val="14"/>
        <color rgb="FF1F3864"/>
        <rFont val="Noto Sans CJK SC"/>
        <family val="2"/>
      </rPr>
      <t xml:space="preserve">온실가스 배출량 산정 실무용 템플릿 </t>
    </r>
    <r>
      <rPr>
        <b/>
        <sz val="14"/>
        <color rgb="FF1F3864"/>
        <rFont val="Arial"/>
        <family val="2"/>
      </rPr>
      <t>(</t>
    </r>
    <r>
      <rPr>
        <b/>
        <sz val="14"/>
        <color rgb="FF1F3864"/>
        <rFont val="Noto Sans CJK SC"/>
        <family val="2"/>
      </rPr>
      <t>진단</t>
    </r>
    <r>
      <rPr>
        <b/>
        <sz val="14"/>
        <color rgb="FF1F3864"/>
        <rFont val="Arial"/>
        <family val="2"/>
      </rPr>
      <t>·</t>
    </r>
    <r>
      <rPr>
        <b/>
        <sz val="14"/>
        <color rgb="FF1F3864"/>
        <rFont val="Noto Sans CJK SC"/>
        <family val="2"/>
      </rPr>
      <t>명세서용</t>
    </r>
    <r>
      <rPr>
        <b/>
        <sz val="14"/>
        <color rgb="FF1F3864"/>
        <rFont val="Arial"/>
        <family val="2"/>
      </rPr>
      <t>)</t>
    </r>
  </si>
  <si>
    <r>
      <rPr>
        <b/>
        <sz val="11"/>
        <color rgb="FF0E7C7B"/>
        <rFont val="Noto Sans CJK SC"/>
        <family val="2"/>
      </rPr>
      <t>경유</t>
    </r>
    <r>
      <rPr>
        <b/>
        <sz val="11"/>
        <color rgb="FF0E7C7B"/>
        <rFont val="Arial"/>
        <family val="2"/>
      </rPr>
      <t xml:space="preserve">·LNG·LPG </t>
    </r>
    <r>
      <rPr>
        <b/>
        <sz val="11"/>
        <color rgb="FF0E7C7B"/>
        <rFont val="Noto Sans CJK SC"/>
        <family val="2"/>
      </rPr>
      <t xml:space="preserve">등 연료는 </t>
    </r>
    <r>
      <rPr>
        <b/>
        <sz val="11"/>
        <color rgb="FF0E7C7B"/>
        <rFont val="Arial"/>
        <family val="2"/>
      </rPr>
      <t>[</t>
    </r>
    <r>
      <rPr>
        <b/>
        <sz val="11"/>
        <color rgb="FF0E7C7B"/>
        <rFont val="Noto Sans CJK SC"/>
        <family val="2"/>
      </rPr>
      <t xml:space="preserve">활동량 → 발열량 → </t>
    </r>
    <r>
      <rPr>
        <b/>
        <sz val="11"/>
        <color rgb="FF0E7C7B"/>
        <rFont val="Arial"/>
        <family val="2"/>
      </rPr>
      <t>TJ</t>
    </r>
    <r>
      <rPr>
        <b/>
        <sz val="11"/>
        <color rgb="FF0E7C7B"/>
        <rFont val="Noto Sans CJK SC"/>
        <family val="2"/>
      </rPr>
      <t>환산 → 배출계수 → 산화계수</t>
    </r>
    <r>
      <rPr>
        <b/>
        <sz val="11"/>
        <color rgb="FF0E7C7B"/>
        <rFont val="Arial"/>
        <family val="2"/>
      </rPr>
      <t>] 5</t>
    </r>
    <r>
      <rPr>
        <b/>
        <sz val="11"/>
        <color rgb="FF0E7C7B"/>
        <rFont val="Noto Sans CJK SC"/>
        <family val="2"/>
      </rPr>
      <t>단계를 모두 표시합니다</t>
    </r>
  </si>
  <si>
    <t>■ 이 템플릿을 만든 이유</t>
  </si>
  <si>
    <r>
      <rPr>
        <sz val="10"/>
        <rFont val="Noto Sans CJK SC"/>
        <family val="2"/>
      </rPr>
      <t>기존 시뮬레이터</t>
    </r>
    <r>
      <rPr>
        <sz val="10"/>
        <rFont val="Arial"/>
        <family val="2"/>
      </rPr>
      <t xml:space="preserve">(0605, 0607 </t>
    </r>
    <r>
      <rPr>
        <sz val="10"/>
        <rFont val="Noto Sans CJK SC"/>
        <family val="2"/>
      </rPr>
      <t>등</t>
    </r>
    <r>
      <rPr>
        <sz val="10"/>
        <rFont val="Arial"/>
        <family val="2"/>
      </rPr>
      <t>)</t>
    </r>
    <r>
      <rPr>
        <sz val="10"/>
        <rFont val="Noto Sans CJK SC"/>
        <family val="2"/>
      </rPr>
      <t xml:space="preserve">는 “활동량 </t>
    </r>
    <r>
      <rPr>
        <sz val="10"/>
        <rFont val="Arial"/>
        <family val="2"/>
      </rPr>
      <t xml:space="preserve">× </t>
    </r>
    <r>
      <rPr>
        <sz val="10"/>
        <rFont val="Noto Sans CJK SC"/>
        <family val="2"/>
      </rPr>
      <t>통합배출계수</t>
    </r>
    <r>
      <rPr>
        <sz val="10"/>
        <rFont val="Arial"/>
        <family val="2"/>
      </rPr>
      <t>(tCO2eq/</t>
    </r>
    <r>
      <rPr>
        <sz val="10"/>
        <rFont val="Noto Sans CJK SC"/>
        <family val="2"/>
      </rPr>
      <t>단위</t>
    </r>
    <r>
      <rPr>
        <sz val="10"/>
        <rFont val="Arial"/>
        <family val="2"/>
      </rPr>
      <t xml:space="preserve">)” </t>
    </r>
    <r>
      <rPr>
        <sz val="10"/>
        <rFont val="Noto Sans CJK SC"/>
        <family val="2"/>
      </rPr>
      <t>한 줄로 계산되어 있어</t>
    </r>
    <r>
      <rPr>
        <sz val="10"/>
        <rFont val="Arial"/>
        <family val="2"/>
      </rPr>
      <t>,</t>
    </r>
  </si>
  <si>
    <r>
      <rPr>
        <sz val="10"/>
        <rFont val="Noto Sans CJK SC"/>
        <family val="2"/>
      </rPr>
      <t>발열량이 어디에 반영되었는지 추적할 수 없고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값의 출처</t>
    </r>
    <r>
      <rPr>
        <sz val="10"/>
        <rFont val="Arial"/>
        <family val="2"/>
      </rPr>
      <t xml:space="preserve">(IPCC Tier1 vs </t>
    </r>
    <r>
      <rPr>
        <sz val="10"/>
        <rFont val="Noto Sans CJK SC"/>
        <family val="2"/>
      </rPr>
      <t xml:space="preserve">국가고유 </t>
    </r>
    <r>
      <rPr>
        <sz val="10"/>
        <rFont val="Arial"/>
        <family val="2"/>
      </rPr>
      <t>Tier2)</t>
    </r>
    <r>
      <rPr>
        <sz val="10"/>
        <rFont val="Noto Sans CJK SC"/>
        <family val="2"/>
      </rPr>
      <t>도 섞여 있었습니다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</si>
  <si>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이 템플릿은 「온실가스 배출권거래제의 배출량 보고 및 인증에 관한 지침」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환경부고시 제</t>
    </r>
    <r>
      <rPr>
        <sz val="10"/>
        <rFont val="Arial"/>
        <family val="2"/>
      </rPr>
      <t>2022-279</t>
    </r>
    <r>
      <rPr>
        <sz val="10"/>
        <rFont val="Noto Sans CJK SC"/>
        <family val="2"/>
      </rPr>
      <t>호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</si>
  <si>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제</t>
    </r>
    <r>
      <rPr>
        <sz val="10"/>
        <rFont val="Arial"/>
        <family val="2"/>
      </rPr>
      <t>15</t>
    </r>
    <r>
      <rPr>
        <sz val="10"/>
        <rFont val="Noto Sans CJK SC"/>
        <family val="2"/>
      </rPr>
      <t>조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제</t>
    </r>
    <r>
      <rPr>
        <sz val="10"/>
        <rFont val="Arial"/>
        <family val="2"/>
      </rPr>
      <t>24</t>
    </r>
    <r>
      <rPr>
        <sz val="10"/>
        <rFont val="Noto Sans CJK SC"/>
        <family val="2"/>
      </rPr>
      <t>조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별표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이 요구하는 대로 발열량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배출계수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산화계수를 각각 별도 항목으로 분리해</t>
    </r>
  </si>
  <si>
    <r>
      <rPr>
        <sz val="10"/>
        <rFont val="Noto Sans CJK SC"/>
        <family val="2"/>
      </rPr>
      <t>출처를 추적할 수 있도록 재구성했습니다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진단보고서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명세서 작성 시 그대로 활용 가능합니다</t>
    </r>
    <r>
      <rPr>
        <sz val="10"/>
        <rFont val="Arial"/>
        <family val="2"/>
      </rPr>
      <t>.</t>
    </r>
  </si>
  <si>
    <t>■ 시트 구성</t>
  </si>
  <si>
    <t>시트명</t>
  </si>
  <si>
    <t>내용</t>
  </si>
  <si>
    <r>
      <rPr>
        <b/>
        <sz val="10"/>
        <rFont val="Noto Sans CJK SC"/>
        <family val="2"/>
      </rPr>
      <t>①사용안내</t>
    </r>
    <r>
      <rPr>
        <b/>
        <sz val="10"/>
        <rFont val="Arial"/>
        <family val="2"/>
      </rPr>
      <t>_</t>
    </r>
    <r>
      <rPr>
        <b/>
        <sz val="10"/>
        <rFont val="Noto Sans CJK SC"/>
        <family val="2"/>
      </rPr>
      <t>범례</t>
    </r>
  </si>
  <si>
    <r>
      <rPr>
        <sz val="10"/>
        <rFont val="Noto Sans CJK SC"/>
        <family val="2"/>
      </rPr>
      <t>현재 시트 — 구조 안내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색상 규칙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근거 조항</t>
    </r>
  </si>
  <si>
    <r>
      <rPr>
        <b/>
        <sz val="10"/>
        <rFont val="Noto Sans CJK SC"/>
        <family val="2"/>
      </rPr>
      <t>②배출계수</t>
    </r>
    <r>
      <rPr>
        <b/>
        <sz val="10"/>
        <rFont val="Arial"/>
        <family val="2"/>
      </rPr>
      <t>_</t>
    </r>
    <r>
      <rPr>
        <b/>
        <sz val="10"/>
        <rFont val="Noto Sans CJK SC"/>
        <family val="2"/>
      </rPr>
      <t>참조표</t>
    </r>
  </si>
  <si>
    <r>
      <rPr>
        <sz val="10"/>
        <rFont val="Noto Sans CJK SC"/>
        <family val="2"/>
      </rPr>
      <t>별표</t>
    </r>
    <r>
      <rPr>
        <sz val="10"/>
        <rFont val="Arial"/>
        <family val="2"/>
      </rPr>
      <t xml:space="preserve">10·11·12 </t>
    </r>
    <r>
      <rPr>
        <sz val="10"/>
        <rFont val="Noto Sans CJK SC"/>
        <family val="2"/>
      </rPr>
      <t>국가고유값 — 회색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수정불가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>모든 계산의 기준 출처</t>
    </r>
  </si>
  <si>
    <r>
      <rPr>
        <b/>
        <sz val="10"/>
        <rFont val="Arial"/>
        <family val="2"/>
      </rPr>
      <t>③Scope1_</t>
    </r>
    <r>
      <rPr>
        <b/>
        <sz val="10"/>
        <rFont val="Noto Sans CJK SC"/>
        <family val="2"/>
      </rPr>
      <t>고정연소</t>
    </r>
  </si>
  <si>
    <r>
      <rPr>
        <sz val="10"/>
        <rFont val="Noto Sans CJK SC"/>
        <family val="2"/>
      </rPr>
      <t>보일러 등 고정연소 — 노란 셀에 활동량만 입력</t>
    </r>
    <r>
      <rPr>
        <sz val="10"/>
        <rFont val="Arial"/>
        <family val="2"/>
      </rPr>
      <t>, 5</t>
    </r>
    <r>
      <rPr>
        <sz val="10"/>
        <rFont val="Noto Sans CJK SC"/>
        <family val="2"/>
      </rPr>
      <t>단계 자동계산</t>
    </r>
  </si>
  <si>
    <r>
      <rPr>
        <b/>
        <sz val="10"/>
        <rFont val="Arial"/>
        <family val="2"/>
      </rPr>
      <t>④Scope1_</t>
    </r>
    <r>
      <rPr>
        <b/>
        <sz val="10"/>
        <rFont val="Noto Sans CJK SC"/>
        <family val="2"/>
      </rPr>
      <t>이동연소</t>
    </r>
  </si>
  <si>
    <r>
      <rPr>
        <sz val="10"/>
        <rFont val="Noto Sans CJK SC"/>
        <family val="2"/>
      </rPr>
      <t>차량연료 — 노란 셀에 활동량만 입력</t>
    </r>
    <r>
      <rPr>
        <sz val="10"/>
        <rFont val="Arial"/>
        <family val="2"/>
      </rPr>
      <t>, 5</t>
    </r>
    <r>
      <rPr>
        <sz val="10"/>
        <rFont val="Noto Sans CJK SC"/>
        <family val="2"/>
      </rPr>
      <t>단계 자동계산</t>
    </r>
  </si>
  <si>
    <r>
      <rPr>
        <b/>
        <sz val="10"/>
        <rFont val="Arial"/>
        <family val="2"/>
      </rPr>
      <t>⑤Scope2_</t>
    </r>
    <r>
      <rPr>
        <b/>
        <sz val="10"/>
        <rFont val="Noto Sans CJK SC"/>
        <family val="2"/>
      </rPr>
      <t>전력</t>
    </r>
  </si>
  <si>
    <r>
      <rPr>
        <sz val="10"/>
        <rFont val="Noto Sans CJK SC"/>
        <family val="2"/>
      </rPr>
      <t xml:space="preserve">구매전력 — </t>
    </r>
    <r>
      <rPr>
        <sz val="10"/>
        <rFont val="Arial"/>
        <family val="2"/>
      </rPr>
      <t>LB(</t>
    </r>
    <r>
      <rPr>
        <sz val="10"/>
        <rFont val="Noto Sans CJK SC"/>
        <family val="2"/>
      </rPr>
      <t>발전단</t>
    </r>
    <r>
      <rPr>
        <sz val="10"/>
        <rFont val="Arial"/>
        <family val="2"/>
      </rPr>
      <t>)·MB(</t>
    </r>
    <r>
      <rPr>
        <sz val="10"/>
        <rFont val="Noto Sans CJK SC"/>
        <family val="2"/>
      </rPr>
      <t>소비단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병행 산정</t>
    </r>
  </si>
  <si>
    <t>⑥종합요약</t>
  </si>
  <si>
    <r>
      <rPr>
        <sz val="10"/>
        <rFont val="Arial"/>
        <family val="2"/>
      </rPr>
      <t xml:space="preserve">Scope1+2 </t>
    </r>
    <r>
      <rPr>
        <sz val="10"/>
        <rFont val="Noto Sans CJK SC"/>
        <family val="2"/>
      </rPr>
      <t>합계</t>
    </r>
    <r>
      <rPr>
        <sz val="10"/>
        <rFont val="Arial"/>
        <family val="2"/>
      </rPr>
      <t xml:space="preserve">, Tier </t>
    </r>
    <r>
      <rPr>
        <sz val="10"/>
        <rFont val="Noto Sans CJK SC"/>
        <family val="2"/>
      </rPr>
      <t>적용현황 표</t>
    </r>
  </si>
  <si>
    <t>⑦근거조항</t>
  </si>
  <si>
    <r>
      <rPr>
        <sz val="10"/>
        <rFont val="Noto Sans CJK SC"/>
        <family val="2"/>
      </rPr>
      <t>제</t>
    </r>
    <r>
      <rPr>
        <sz val="10"/>
        <rFont val="Arial"/>
        <family val="2"/>
      </rPr>
      <t>9</t>
    </r>
    <r>
      <rPr>
        <sz val="10"/>
        <rFont val="Noto Sans CJK SC"/>
        <family val="2"/>
      </rPr>
      <t>조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제</t>
    </r>
    <r>
      <rPr>
        <sz val="10"/>
        <rFont val="Arial"/>
        <family val="2"/>
      </rPr>
      <t>11</t>
    </r>
    <r>
      <rPr>
        <sz val="10"/>
        <rFont val="Noto Sans CJK SC"/>
        <family val="2"/>
      </rPr>
      <t>조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제</t>
    </r>
    <r>
      <rPr>
        <sz val="10"/>
        <rFont val="Arial"/>
        <family val="2"/>
      </rPr>
      <t>14</t>
    </r>
    <r>
      <rPr>
        <sz val="10"/>
        <rFont val="Noto Sans CJK SC"/>
        <family val="2"/>
      </rPr>
      <t>조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제</t>
    </r>
    <r>
      <rPr>
        <sz val="10"/>
        <rFont val="Arial"/>
        <family val="2"/>
      </rPr>
      <t>15</t>
    </r>
    <r>
      <rPr>
        <sz val="10"/>
        <rFont val="Noto Sans CJK SC"/>
        <family val="2"/>
      </rPr>
      <t>조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제</t>
    </r>
    <r>
      <rPr>
        <sz val="10"/>
        <rFont val="Arial"/>
        <family val="2"/>
      </rPr>
      <t>22</t>
    </r>
    <r>
      <rPr>
        <sz val="10"/>
        <rFont val="Noto Sans CJK SC"/>
        <family val="2"/>
      </rPr>
      <t>조 요약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감사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검증 대응용</t>
    </r>
    <r>
      <rPr>
        <sz val="10"/>
        <rFont val="Arial"/>
        <family val="2"/>
      </rPr>
      <t>)</t>
    </r>
  </si>
  <si>
    <t>■ 색상 규칙</t>
  </si>
  <si>
    <t>노란색 셀</t>
  </si>
  <si>
    <r>
      <rPr>
        <sz val="10"/>
        <rFont val="Noto Sans CJK SC"/>
        <family val="2"/>
      </rPr>
      <t>직접 입력 — 활동량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연료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전력 사용량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만 입력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나머지는 자동계산됩니다</t>
    </r>
  </si>
  <si>
    <t>회색 셀</t>
  </si>
  <si>
    <r>
      <rPr>
        <sz val="10"/>
        <rFont val="Noto Sans CJK SC"/>
        <family val="2"/>
      </rPr>
      <t>참조표 고정값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발열량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배출계수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산화계수</t>
    </r>
    <r>
      <rPr>
        <sz val="10"/>
        <rFont val="Arial"/>
        <family val="2"/>
      </rPr>
      <t xml:space="preserve">) — </t>
    </r>
    <r>
      <rPr>
        <sz val="10"/>
        <rFont val="Noto Sans CJK SC"/>
        <family val="2"/>
      </rPr>
      <t>절대 수정하지 마세요</t>
    </r>
  </si>
  <si>
    <t>검은색 텍스트</t>
  </si>
  <si>
    <t>수식으로 자동계산되는 결과</t>
  </si>
  <si>
    <t>초록색 텍스트</t>
  </si>
  <si>
    <t>다른 시트를 참조하는 링크 값</t>
  </si>
  <si>
    <r>
      <rPr>
        <b/>
        <sz val="11"/>
        <color rgb="FF0E7C7B"/>
        <rFont val="Noto Sans CJK SC"/>
        <family val="2"/>
      </rPr>
      <t xml:space="preserve">■ 핵심 원칙 </t>
    </r>
    <r>
      <rPr>
        <b/>
        <sz val="11"/>
        <color rgb="FF0E7C7B"/>
        <rFont val="Arial"/>
        <family val="2"/>
      </rPr>
      <t>(</t>
    </r>
    <r>
      <rPr>
        <b/>
        <sz val="11"/>
        <color rgb="FF0E7C7B"/>
        <rFont val="Noto Sans CJK SC"/>
        <family val="2"/>
      </rPr>
      <t>지난 컨설팅 확인사항 반영</t>
    </r>
    <r>
      <rPr>
        <b/>
        <sz val="11"/>
        <color rgb="FF0E7C7B"/>
        <rFont val="Arial"/>
        <family val="2"/>
      </rPr>
      <t>)</t>
    </r>
  </si>
  <si>
    <r>
      <rPr>
        <sz val="10"/>
        <rFont val="Arial"/>
        <family val="2"/>
      </rPr>
      <t>1. Tier(</t>
    </r>
    <r>
      <rPr>
        <sz val="10"/>
        <rFont val="Noto Sans CJK SC"/>
        <family val="2"/>
      </rPr>
      <t>산정등급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는 계산 편의로 선택하는 것이 아니라 배출규모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별표</t>
    </r>
    <r>
      <rPr>
        <sz val="10"/>
        <rFont val="Arial"/>
        <family val="2"/>
      </rPr>
      <t>5)</t>
    </r>
    <r>
      <rPr>
        <sz val="10"/>
        <rFont val="Noto Sans CJK SC"/>
        <family val="2"/>
      </rPr>
      <t xml:space="preserve">로 강제됩니다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제</t>
    </r>
    <r>
      <rPr>
        <sz val="10"/>
        <rFont val="Arial"/>
        <family val="2"/>
      </rPr>
      <t>11</t>
    </r>
    <r>
      <rPr>
        <sz val="10"/>
        <rFont val="Noto Sans CJK SC"/>
        <family val="2"/>
      </rPr>
      <t>조①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</si>
  <si>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2. Tier </t>
    </r>
    <r>
      <rPr>
        <sz val="10"/>
        <rFont val="Noto Sans CJK SC"/>
        <family val="2"/>
      </rPr>
      <t>그룹 판정은 기업 전체가 아니라 개별 배출시설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 xml:space="preserve">배출활동 단위로 합니다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제</t>
    </r>
    <r>
      <rPr>
        <sz val="10"/>
        <rFont val="Arial"/>
        <family val="2"/>
      </rPr>
      <t>9</t>
    </r>
    <r>
      <rPr>
        <sz val="10"/>
        <rFont val="Noto Sans CJK SC"/>
        <family val="2"/>
      </rPr>
      <t>조③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제</t>
    </r>
    <r>
      <rPr>
        <sz val="10"/>
        <rFont val="Arial"/>
        <family val="2"/>
      </rPr>
      <t>11</t>
    </r>
    <r>
      <rPr>
        <sz val="10"/>
        <rFont val="Noto Sans CJK SC"/>
        <family val="2"/>
      </rPr>
      <t>조①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</si>
  <si>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3. </t>
    </r>
    <r>
      <rPr>
        <sz val="10"/>
        <rFont val="Noto Sans CJK SC"/>
        <family val="2"/>
      </rPr>
      <t>발열량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 xml:space="preserve">배출계수는 같은 </t>
    </r>
    <r>
      <rPr>
        <sz val="10"/>
        <rFont val="Arial"/>
        <family val="2"/>
      </rPr>
      <t xml:space="preserve">Tier </t>
    </r>
    <r>
      <rPr>
        <sz val="10"/>
        <rFont val="Noto Sans CJK SC"/>
        <family val="2"/>
      </rPr>
      <t xml:space="preserve">세트로 통일해야 합니다 — </t>
    </r>
    <r>
      <rPr>
        <sz val="10"/>
        <rFont val="Arial"/>
        <family val="2"/>
      </rPr>
      <t>Tier1</t>
    </r>
    <r>
      <rPr>
        <sz val="10"/>
        <rFont val="Noto Sans CJK SC"/>
        <family val="2"/>
      </rPr>
      <t>은 별표</t>
    </r>
    <r>
      <rPr>
        <sz val="10"/>
        <rFont val="Arial"/>
        <family val="2"/>
      </rPr>
      <t>10+</t>
    </r>
    <r>
      <rPr>
        <sz val="10"/>
        <rFont val="Noto Sans CJK SC"/>
        <family val="2"/>
      </rPr>
      <t>별표</t>
    </r>
    <r>
      <rPr>
        <sz val="10"/>
        <rFont val="Arial"/>
        <family val="2"/>
      </rPr>
      <t>11, Tier2</t>
    </r>
    <r>
      <rPr>
        <sz val="10"/>
        <rFont val="Noto Sans CJK SC"/>
        <family val="2"/>
      </rPr>
      <t>는 별표</t>
    </r>
    <r>
      <rPr>
        <sz val="10"/>
        <rFont val="Arial"/>
        <family val="2"/>
      </rPr>
      <t>12 (</t>
    </r>
    <r>
      <rPr>
        <sz val="10"/>
        <rFont val="Noto Sans CJK SC"/>
        <family val="2"/>
      </rPr>
      <t>제</t>
    </r>
    <r>
      <rPr>
        <sz val="10"/>
        <rFont val="Arial"/>
        <family val="2"/>
      </rPr>
      <t>15</t>
    </r>
    <r>
      <rPr>
        <sz val="10"/>
        <rFont val="Noto Sans CJK SC"/>
        <family val="2"/>
      </rPr>
      <t>조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</si>
  <si>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4. Tier1</t>
    </r>
    <r>
      <rPr>
        <sz val="10"/>
        <rFont val="Noto Sans CJK SC"/>
        <family val="2"/>
      </rPr>
      <t xml:space="preserve">은 국가고유 계수 미고시 시에만 예외 사용 가능합니다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제</t>
    </r>
    <r>
      <rPr>
        <sz val="10"/>
        <rFont val="Arial"/>
        <family val="2"/>
      </rPr>
      <t>22</t>
    </r>
    <r>
      <rPr>
        <sz val="10"/>
        <rFont val="Noto Sans CJK SC"/>
        <family val="2"/>
      </rPr>
      <t>조</t>
    </r>
    <r>
      <rPr>
        <sz val="10"/>
        <rFont val="Arial"/>
        <family val="2"/>
      </rPr>
      <t>) — “</t>
    </r>
    <r>
      <rPr>
        <sz val="10"/>
        <rFont val="Noto Sans CJK SC"/>
        <family val="2"/>
      </rPr>
      <t>계산이 쉬워서”는 사유가 아닙니다</t>
    </r>
  </si>
  <si>
    <r>
      <rPr>
        <sz val="10"/>
        <rFont val="Arial"/>
        <family val="2"/>
      </rPr>
      <t xml:space="preserve">5. </t>
    </r>
    <r>
      <rPr>
        <sz val="10"/>
        <rFont val="Noto Sans CJK SC"/>
        <family val="2"/>
      </rPr>
      <t xml:space="preserve">본 템플릿은 원칙적으로 </t>
    </r>
    <r>
      <rPr>
        <sz val="10"/>
        <rFont val="Arial"/>
        <family val="2"/>
      </rPr>
      <t>Tier2(</t>
    </r>
    <r>
      <rPr>
        <sz val="10"/>
        <rFont val="Noto Sans CJK SC"/>
        <family val="2"/>
      </rPr>
      <t>국가고유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별표</t>
    </r>
    <r>
      <rPr>
        <sz val="10"/>
        <rFont val="Arial"/>
        <family val="2"/>
      </rPr>
      <t>12)</t>
    </r>
    <r>
      <rPr>
        <sz val="10"/>
        <rFont val="Noto Sans CJK SC"/>
        <family val="2"/>
      </rPr>
      <t>를 기본값으로 사용합니다</t>
    </r>
  </si>
  <si>
    <r>
      <rPr>
        <i/>
        <sz val="9"/>
        <color rgb="FF666666"/>
        <rFont val="Noto Sans CJK SC"/>
        <family val="2"/>
      </rPr>
      <t>※ 본 템플릿의 참조표 수치는 환경부고시 제</t>
    </r>
    <r>
      <rPr>
        <i/>
        <sz val="9"/>
        <color rgb="FF666666"/>
        <rFont val="Arial"/>
        <family val="2"/>
      </rPr>
      <t>2022-279</t>
    </r>
    <r>
      <rPr>
        <i/>
        <sz val="9"/>
        <color rgb="FF666666"/>
        <rFont val="Noto Sans CJK SC"/>
        <family val="2"/>
      </rPr>
      <t>호</t>
    </r>
    <r>
      <rPr>
        <i/>
        <sz val="9"/>
        <color rgb="FF666666"/>
        <rFont val="Arial"/>
        <family val="2"/>
      </rPr>
      <t xml:space="preserve">(2023.1.1. </t>
    </r>
    <r>
      <rPr>
        <i/>
        <sz val="9"/>
        <color rgb="FF666666"/>
        <rFont val="Noto Sans CJK SC"/>
        <family val="2"/>
      </rPr>
      <t>시행</t>
    </r>
    <r>
      <rPr>
        <i/>
        <sz val="9"/>
        <color rgb="FF666666"/>
        <rFont val="Arial"/>
        <family val="2"/>
      </rPr>
      <t xml:space="preserve">) </t>
    </r>
    <r>
      <rPr>
        <i/>
        <sz val="9"/>
        <color rgb="FF666666"/>
        <rFont val="Noto Sans CJK SC"/>
        <family val="2"/>
      </rPr>
      <t>별표</t>
    </r>
    <r>
      <rPr>
        <i/>
        <sz val="9"/>
        <color rgb="FF666666"/>
        <rFont val="Arial"/>
        <family val="2"/>
      </rPr>
      <t xml:space="preserve">10·11·12 </t>
    </r>
    <r>
      <rPr>
        <i/>
        <sz val="9"/>
        <color rgb="FF666666"/>
        <rFont val="Noto Sans CJK SC"/>
        <family val="2"/>
      </rPr>
      <t>기준이며</t>
    </r>
    <r>
      <rPr>
        <i/>
        <sz val="9"/>
        <color rgb="FF666666"/>
        <rFont val="Arial"/>
        <family val="2"/>
      </rPr>
      <t xml:space="preserve">, </t>
    </r>
    <r>
      <rPr>
        <i/>
        <sz val="9"/>
        <color rgb="FF666666"/>
        <rFont val="Noto Sans CJK SC"/>
        <family val="2"/>
      </rPr>
      <t>실제 사용 시 온실가스종합정보센터</t>
    </r>
    <r>
      <rPr>
        <i/>
        <sz val="9"/>
        <color rgb="FF666666"/>
        <rFont val="Arial"/>
        <family val="2"/>
      </rPr>
      <t>(gir.go.kr)</t>
    </r>
    <r>
      <rPr>
        <i/>
        <sz val="9"/>
        <color rgb="FF666666"/>
        <rFont val="Noto Sans CJK SC"/>
        <family val="2"/>
      </rPr>
      <t>에서 최신 고시 여부를 반드시 재확인하시기 바랍니다</t>
    </r>
    <r>
      <rPr>
        <i/>
        <sz val="9"/>
        <color rgb="FF666666"/>
        <rFont val="Arial"/>
        <family val="2"/>
      </rPr>
      <t>.</t>
    </r>
  </si>
  <si>
    <r>
      <rPr>
        <b/>
        <sz val="14"/>
        <color rgb="FF1F3864"/>
        <rFont val="Noto Sans CJK SC"/>
        <family val="2"/>
      </rPr>
      <t>국가 고유 배출계수</t>
    </r>
    <r>
      <rPr>
        <b/>
        <sz val="14"/>
        <color rgb="FF1F3864"/>
        <rFont val="Arial"/>
        <family val="2"/>
      </rPr>
      <t>·</t>
    </r>
    <r>
      <rPr>
        <b/>
        <sz val="14"/>
        <color rgb="FF1F3864"/>
        <rFont val="Noto Sans CJK SC"/>
        <family val="2"/>
      </rPr>
      <t xml:space="preserve">발열량 참조표 </t>
    </r>
    <r>
      <rPr>
        <b/>
        <sz val="14"/>
        <color rgb="FF1F3864"/>
        <rFont val="Arial"/>
        <family val="2"/>
      </rPr>
      <t>(</t>
    </r>
    <r>
      <rPr>
        <b/>
        <sz val="14"/>
        <color rgb="FF1F3864"/>
        <rFont val="Noto Sans CJK SC"/>
        <family val="2"/>
      </rPr>
      <t>별표</t>
    </r>
    <r>
      <rPr>
        <b/>
        <sz val="14"/>
        <color rgb="FF1F3864"/>
        <rFont val="Arial"/>
        <family val="2"/>
      </rPr>
      <t>10·11·12)</t>
    </r>
  </si>
  <si>
    <r>
      <rPr>
        <i/>
        <sz val="9"/>
        <color rgb="FF666666"/>
        <rFont val="Noto Sans CJK SC"/>
        <family val="2"/>
      </rPr>
      <t>출처</t>
    </r>
    <r>
      <rPr>
        <i/>
        <sz val="9"/>
        <color rgb="FF666666"/>
        <rFont val="Arial"/>
        <family val="2"/>
      </rPr>
      <t xml:space="preserve">: </t>
    </r>
    <r>
      <rPr>
        <i/>
        <sz val="9"/>
        <color rgb="FF666666"/>
        <rFont val="Noto Sans CJK SC"/>
        <family val="2"/>
      </rPr>
      <t>「온실가스 배출권거래제의 배출량 보고 및 인증에 관한 지침」</t>
    </r>
    <r>
      <rPr>
        <i/>
        <sz val="9"/>
        <color rgb="FF666666"/>
        <rFont val="Arial"/>
        <family val="2"/>
      </rPr>
      <t>(</t>
    </r>
    <r>
      <rPr>
        <i/>
        <sz val="9"/>
        <color rgb="FF666666"/>
        <rFont val="Noto Sans CJK SC"/>
        <family val="2"/>
      </rPr>
      <t>환경부고시 제</t>
    </r>
    <r>
      <rPr>
        <i/>
        <sz val="9"/>
        <color rgb="FF666666"/>
        <rFont val="Arial"/>
        <family val="2"/>
      </rPr>
      <t>2022-279</t>
    </r>
    <r>
      <rPr>
        <i/>
        <sz val="9"/>
        <color rgb="FF666666"/>
        <rFont val="Noto Sans CJK SC"/>
        <family val="2"/>
      </rPr>
      <t>호</t>
    </r>
    <r>
      <rPr>
        <i/>
        <sz val="9"/>
        <color rgb="FF666666"/>
        <rFont val="Arial"/>
        <family val="2"/>
      </rPr>
      <t xml:space="preserve">, 2023.1.1. </t>
    </r>
    <r>
      <rPr>
        <i/>
        <sz val="9"/>
        <color rgb="FF666666"/>
        <rFont val="Noto Sans CJK SC"/>
        <family val="2"/>
      </rPr>
      <t>시행</t>
    </r>
    <r>
      <rPr>
        <i/>
        <sz val="9"/>
        <color rgb="FF666666"/>
        <rFont val="Arial"/>
        <family val="2"/>
      </rPr>
      <t xml:space="preserve">) </t>
    </r>
    <r>
      <rPr>
        <i/>
        <sz val="9"/>
        <color rgb="FF666666"/>
        <rFont val="Noto Sans CJK SC"/>
        <family val="2"/>
      </rPr>
      <t>별표</t>
    </r>
    <r>
      <rPr>
        <i/>
        <sz val="9"/>
        <color rgb="FF666666"/>
        <rFont val="Arial"/>
        <family val="2"/>
      </rPr>
      <t>10·11·12</t>
    </r>
  </si>
  <si>
    <r>
      <rPr>
        <b/>
        <i/>
        <sz val="9"/>
        <color rgb="FFC00000"/>
        <rFont val="Noto Sans CJK SC"/>
        <family val="2"/>
      </rPr>
      <t>이 표의 값은 모두 회색</t>
    </r>
    <r>
      <rPr>
        <b/>
        <i/>
        <sz val="9"/>
        <color rgb="FFC00000"/>
        <rFont val="Arial"/>
        <family val="2"/>
      </rPr>
      <t>(</t>
    </r>
    <r>
      <rPr>
        <b/>
        <i/>
        <sz val="9"/>
        <color rgb="FFC00000"/>
        <rFont val="Noto Sans CJK SC"/>
        <family val="2"/>
      </rPr>
      <t>수정 금지</t>
    </r>
    <r>
      <rPr>
        <b/>
        <i/>
        <sz val="9"/>
        <color rgb="FFC00000"/>
        <rFont val="Arial"/>
        <family val="2"/>
      </rPr>
      <t>)</t>
    </r>
    <r>
      <rPr>
        <b/>
        <i/>
        <sz val="9"/>
        <color rgb="FFC00000"/>
        <rFont val="Noto Sans CJK SC"/>
        <family val="2"/>
      </rPr>
      <t>입니다</t>
    </r>
    <r>
      <rPr>
        <b/>
        <i/>
        <sz val="9"/>
        <color rgb="FFC00000"/>
        <rFont val="Arial"/>
        <family val="2"/>
      </rPr>
      <t xml:space="preserve">. Scope1 </t>
    </r>
    <r>
      <rPr>
        <b/>
        <i/>
        <sz val="9"/>
        <color rgb="FFC00000"/>
        <rFont val="Noto Sans CJK SC"/>
        <family val="2"/>
      </rPr>
      <t>시트는 이 표를 자동으로 참조합니다</t>
    </r>
    <r>
      <rPr>
        <b/>
        <i/>
        <sz val="9"/>
        <color rgb="FFC00000"/>
        <rFont val="Arial"/>
        <family val="2"/>
      </rPr>
      <t>.</t>
    </r>
  </si>
  <si>
    <t>연료명</t>
  </si>
  <si>
    <t>단위</t>
  </si>
  <si>
    <r>
      <rPr>
        <b/>
        <sz val="10"/>
        <color rgb="FFFFFFFF"/>
        <rFont val="Noto Sans CJK SC"/>
        <family val="2"/>
      </rPr>
      <t xml:space="preserve">순발열량
</t>
    </r>
    <r>
      <rPr>
        <b/>
        <sz val="10"/>
        <color rgb="FFFFFFFF"/>
        <rFont val="Arial"/>
        <family val="2"/>
      </rPr>
      <t>(MJ/</t>
    </r>
    <r>
      <rPr>
        <b/>
        <sz val="10"/>
        <color rgb="FFFFFFFF"/>
        <rFont val="Noto Sans CJK SC"/>
        <family val="2"/>
      </rPr>
      <t>단위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</si>
  <si>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CO2</t>
    </r>
    <r>
      <rPr>
        <b/>
        <sz val="10"/>
        <color rgb="FFFFFFFF"/>
        <rFont val="Noto Sans CJK SC"/>
        <family val="2"/>
      </rPr>
      <t xml:space="preserve">배출계수
</t>
    </r>
    <r>
      <rPr>
        <b/>
        <sz val="10"/>
        <color rgb="FFFFFFFF"/>
        <rFont val="Arial"/>
        <family val="2"/>
      </rPr>
      <t>(kgCO2/TJ)</t>
    </r>
  </si>
  <si>
    <r>
      <rPr>
        <b/>
        <sz val="10"/>
        <color rgb="FFFFFFFF"/>
        <rFont val="Arial"/>
        <family val="2"/>
      </rPr>
      <t>CH4</t>
    </r>
    <r>
      <rPr>
        <b/>
        <sz val="10"/>
        <color rgb="FFFFFFFF"/>
        <rFont val="Noto Sans CJK SC"/>
        <family val="2"/>
      </rPr>
      <t xml:space="preserve">배출계수
</t>
    </r>
    <r>
      <rPr>
        <b/>
        <sz val="10"/>
        <color rgb="FFFFFFFF"/>
        <rFont val="Arial"/>
        <family val="2"/>
      </rPr>
      <t>(kgCH4/TJ)*</t>
    </r>
  </si>
  <si>
    <r>
      <rPr>
        <b/>
        <sz val="10"/>
        <color rgb="FFFFFFFF"/>
        <rFont val="Arial"/>
        <family val="2"/>
      </rPr>
      <t>N2O</t>
    </r>
    <r>
      <rPr>
        <b/>
        <sz val="10"/>
        <color rgb="FFFFFFFF"/>
        <rFont val="Noto Sans CJK SC"/>
        <family val="2"/>
      </rPr>
      <t xml:space="preserve">배출계수
</t>
    </r>
    <r>
      <rPr>
        <b/>
        <sz val="10"/>
        <color rgb="FFFFFFFF"/>
        <rFont val="Arial"/>
        <family val="2"/>
      </rPr>
      <t>(kgN2O/TJ)*</t>
    </r>
  </si>
  <si>
    <r>
      <rPr>
        <b/>
        <sz val="10"/>
        <color rgb="FFFFFFFF"/>
        <rFont val="Noto Sans CJK SC"/>
        <family val="2"/>
      </rPr>
      <t xml:space="preserve">산화계수
</t>
    </r>
    <r>
      <rPr>
        <b/>
        <sz val="10"/>
        <color rgb="FFFFFFFF"/>
        <rFont val="Arial"/>
        <family val="2"/>
      </rPr>
      <t>(CO2</t>
    </r>
    <r>
      <rPr>
        <b/>
        <sz val="10"/>
        <color rgb="FFFFFFFF"/>
        <rFont val="Noto Sans CJK SC"/>
        <family val="2"/>
      </rPr>
      <t>용</t>
    </r>
    <r>
      <rPr>
        <b/>
        <sz val="10"/>
        <color rgb="FFFFFFFF"/>
        <rFont val="Arial"/>
        <family val="2"/>
      </rPr>
      <t>)</t>
    </r>
  </si>
  <si>
    <t>근거 별표</t>
  </si>
  <si>
    <r>
      <rPr>
        <sz val="10"/>
        <rFont val="Noto Sans CJK SC"/>
        <family val="2"/>
      </rPr>
      <t>경유</t>
    </r>
    <r>
      <rPr>
        <sz val="10"/>
        <rFont val="Arial"/>
        <family val="2"/>
      </rPr>
      <t>(Diesel)</t>
    </r>
  </si>
  <si>
    <t>L</t>
  </si>
  <si>
    <r>
      <rPr>
        <sz val="10"/>
        <rFont val="Noto Sans CJK SC"/>
        <family val="2"/>
      </rPr>
      <t>별표</t>
    </r>
    <r>
      <rPr>
        <sz val="10"/>
        <rFont val="Arial"/>
        <family val="2"/>
      </rPr>
      <t xml:space="preserve">12①②, </t>
    </r>
    <r>
      <rPr>
        <sz val="10"/>
        <rFont val="Noto Sans CJK SC"/>
        <family val="2"/>
      </rPr>
      <t>별표</t>
    </r>
    <r>
      <rPr>
        <sz val="10"/>
        <rFont val="Arial"/>
        <family val="2"/>
      </rPr>
      <t>10</t>
    </r>
  </si>
  <si>
    <r>
      <rPr>
        <sz val="10"/>
        <rFont val="Noto Sans CJK SC"/>
        <family val="2"/>
      </rPr>
      <t>등유</t>
    </r>
    <r>
      <rPr>
        <sz val="10"/>
        <rFont val="Arial"/>
        <family val="2"/>
      </rPr>
      <t>(Kerosene)</t>
    </r>
  </si>
  <si>
    <r>
      <rPr>
        <sz val="10"/>
        <rFont val="Noto Sans CJK SC"/>
        <family val="2"/>
      </rPr>
      <t>휘발유</t>
    </r>
    <r>
      <rPr>
        <sz val="10"/>
        <rFont val="Arial"/>
        <family val="2"/>
      </rPr>
      <t>(Gasoline)</t>
    </r>
  </si>
  <si>
    <r>
      <rPr>
        <sz val="10"/>
        <rFont val="Arial"/>
        <family val="2"/>
      </rPr>
      <t>LPG-</t>
    </r>
    <r>
      <rPr>
        <sz val="10"/>
        <rFont val="Noto Sans CJK SC"/>
        <family val="2"/>
      </rPr>
      <t>프로판</t>
    </r>
    <r>
      <rPr>
        <sz val="10"/>
        <rFont val="Arial"/>
        <family val="2"/>
      </rPr>
      <t>(LPG1</t>
    </r>
    <r>
      <rPr>
        <sz val="10"/>
        <rFont val="Noto Sans CJK SC"/>
        <family val="2"/>
      </rPr>
      <t>호</t>
    </r>
    <r>
      <rPr>
        <sz val="10"/>
        <rFont val="Arial"/>
        <family val="2"/>
      </rPr>
      <t>)</t>
    </r>
  </si>
  <si>
    <t>kg</t>
  </si>
  <si>
    <r>
      <rPr>
        <sz val="10"/>
        <rFont val="Arial"/>
        <family val="2"/>
      </rPr>
      <t>LPG-</t>
    </r>
    <r>
      <rPr>
        <sz val="10"/>
        <rFont val="Noto Sans CJK SC"/>
        <family val="2"/>
      </rPr>
      <t>부탄</t>
    </r>
    <r>
      <rPr>
        <sz val="10"/>
        <rFont val="Arial"/>
        <family val="2"/>
      </rPr>
      <t>(LPG3</t>
    </r>
    <r>
      <rPr>
        <sz val="10"/>
        <rFont val="Noto Sans CJK SC"/>
        <family val="2"/>
      </rPr>
      <t>호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</si>
  <si>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도시가스</t>
    </r>
    <r>
      <rPr>
        <sz val="10"/>
        <rFont val="Arial"/>
        <family val="2"/>
      </rPr>
      <t>/LNG</t>
    </r>
  </si>
  <si>
    <t>Nm³</t>
  </si>
  <si>
    <r>
      <rPr>
        <i/>
        <sz val="9"/>
        <color rgb="FF666666"/>
        <rFont val="Arial"/>
        <family val="2"/>
      </rPr>
      <t>* CH4·N2O</t>
    </r>
    <r>
      <rPr>
        <i/>
        <sz val="9"/>
        <color rgb="FF666666"/>
        <rFont val="Noto Sans CJK SC"/>
        <family val="2"/>
      </rPr>
      <t>는 별표</t>
    </r>
    <r>
      <rPr>
        <i/>
        <sz val="9"/>
        <color rgb="FF666666"/>
        <rFont val="Arial"/>
        <family val="2"/>
      </rPr>
      <t>12</t>
    </r>
    <r>
      <rPr>
        <i/>
        <sz val="9"/>
        <color rgb="FF666666"/>
        <rFont val="Noto Sans CJK SC"/>
        <family val="2"/>
      </rPr>
      <t>에 국가고유값이 없어 별표</t>
    </r>
    <r>
      <rPr>
        <i/>
        <sz val="9"/>
        <color rgb="FF666666"/>
        <rFont val="Arial"/>
        <family val="2"/>
      </rPr>
      <t xml:space="preserve">10(IPCC 2006 GL Tier1, </t>
    </r>
    <r>
      <rPr>
        <i/>
        <sz val="9"/>
        <color rgb="FF666666"/>
        <rFont val="Noto Sans CJK SC"/>
        <family val="2"/>
      </rPr>
      <t>제조업</t>
    </r>
    <r>
      <rPr>
        <i/>
        <sz val="9"/>
        <color rgb="FF666666"/>
        <rFont val="Arial"/>
        <family val="2"/>
      </rPr>
      <t>·</t>
    </r>
    <r>
      <rPr>
        <i/>
        <sz val="9"/>
        <color rgb="FF666666"/>
        <rFont val="Noto Sans CJK SC"/>
        <family val="2"/>
      </rPr>
      <t>건설업 기준</t>
    </r>
    <r>
      <rPr>
        <i/>
        <sz val="9"/>
        <color rgb="FF666666"/>
        <rFont val="Arial"/>
        <family val="2"/>
      </rPr>
      <t>)</t>
    </r>
    <r>
      <rPr>
        <i/>
        <sz val="9"/>
        <color rgb="FF666666"/>
        <rFont val="Noto Sans CJK SC"/>
        <family val="2"/>
      </rPr>
      <t>을 사용합니다</t>
    </r>
    <r>
      <rPr>
        <i/>
        <sz val="9"/>
        <color rgb="FF666666"/>
        <rFont val="Arial"/>
        <family val="2"/>
      </rPr>
      <t>. CO2</t>
    </r>
    <r>
      <rPr>
        <i/>
        <sz val="9"/>
        <color rgb="FF666666"/>
        <rFont val="Noto Sans CJK SC"/>
        <family val="2"/>
      </rPr>
      <t>만 국가고유</t>
    </r>
    <r>
      <rPr>
        <i/>
        <sz val="9"/>
        <color rgb="FF666666"/>
        <rFont val="Arial"/>
        <family val="2"/>
      </rPr>
      <t>(Tier2), CH4·N2O</t>
    </r>
    <r>
      <rPr>
        <i/>
        <sz val="9"/>
        <color rgb="FF666666"/>
        <rFont val="Noto Sans CJK SC"/>
        <family val="2"/>
      </rPr>
      <t>는 국제평균</t>
    </r>
    <r>
      <rPr>
        <i/>
        <sz val="9"/>
        <color rgb="FF666666"/>
        <rFont val="Arial"/>
        <family val="2"/>
      </rPr>
      <t>(Tier1)</t>
    </r>
    <r>
      <rPr>
        <i/>
        <sz val="9"/>
        <color rgb="FF666666"/>
        <rFont val="Noto Sans CJK SC"/>
        <family val="2"/>
      </rPr>
      <t xml:space="preserve">을 쓰는 것은 지침상 허용되는 정상적인 조합입니다 </t>
    </r>
    <r>
      <rPr>
        <i/>
        <sz val="9"/>
        <color rgb="FF666666"/>
        <rFont val="Arial"/>
        <family val="2"/>
      </rPr>
      <t>(Tier</t>
    </r>
    <r>
      <rPr>
        <i/>
        <sz val="9"/>
        <color rgb="FF666666"/>
        <rFont val="Noto Sans CJK SC"/>
        <family val="2"/>
      </rPr>
      <t>는 온실가스 종류별로도 별도 적용 가능 — 제</t>
    </r>
    <r>
      <rPr>
        <i/>
        <sz val="9"/>
        <color rgb="FF666666"/>
        <rFont val="Arial"/>
        <family val="2"/>
      </rPr>
      <t>11</t>
    </r>
    <r>
      <rPr>
        <i/>
        <sz val="9"/>
        <color rgb="FF666666"/>
        <rFont val="Noto Sans CJK SC"/>
        <family val="2"/>
      </rPr>
      <t>조①</t>
    </r>
    <r>
      <rPr>
        <i/>
        <sz val="9"/>
        <color rgb="FF666666"/>
        <rFont val="Arial"/>
        <family val="2"/>
      </rPr>
      <t>).</t>
    </r>
  </si>
  <si>
    <r>
      <rPr>
        <b/>
        <sz val="9"/>
        <color rgb="FFC00000"/>
        <rFont val="Arial"/>
        <family val="2"/>
      </rPr>
      <t xml:space="preserve">GWP </t>
    </r>
    <r>
      <rPr>
        <b/>
        <sz val="9"/>
        <color rgb="FFC00000"/>
        <rFont val="Noto Sans CJK SC"/>
        <family val="2"/>
      </rPr>
      <t>병행 기준</t>
    </r>
    <r>
      <rPr>
        <b/>
        <sz val="9"/>
        <color rgb="FFC00000"/>
        <rFont val="Arial"/>
        <family val="2"/>
      </rPr>
      <t>: AR5(IPCC 5</t>
    </r>
    <r>
      <rPr>
        <b/>
        <sz val="9"/>
        <color rgb="FFC00000"/>
        <rFont val="Noto Sans CJK SC"/>
        <family val="2"/>
      </rPr>
      <t>차</t>
    </r>
    <r>
      <rPr>
        <b/>
        <sz val="9"/>
        <color rgb="FFC00000"/>
        <rFont val="Arial"/>
        <family val="2"/>
      </rPr>
      <t xml:space="preserve">, K-ETS </t>
    </r>
    <r>
      <rPr>
        <b/>
        <sz val="9"/>
        <color rgb="FFC00000"/>
        <rFont val="Noto Sans CJK SC"/>
        <family val="2"/>
      </rPr>
      <t>현행 공식기준</t>
    </r>
    <r>
      <rPr>
        <b/>
        <sz val="9"/>
        <color rgb="FFC00000"/>
        <rFont val="Arial"/>
        <family val="2"/>
      </rPr>
      <t>) CH4=28, N2O=265  |  AR6(IPCC 6</t>
    </r>
    <r>
      <rPr>
        <b/>
        <sz val="9"/>
        <color rgb="FFC00000"/>
        <rFont val="Noto Sans CJK SC"/>
        <family val="2"/>
      </rPr>
      <t>차</t>
    </r>
    <r>
      <rPr>
        <b/>
        <sz val="9"/>
        <color rgb="FFC00000"/>
        <rFont val="Arial"/>
        <family val="2"/>
      </rPr>
      <t xml:space="preserve">, CBAM·ISSB </t>
    </r>
    <r>
      <rPr>
        <b/>
        <sz val="9"/>
        <color rgb="FFC00000"/>
        <rFont val="Noto Sans CJK SC"/>
        <family val="2"/>
      </rPr>
      <t>등 국제보고용</t>
    </r>
    <r>
      <rPr>
        <b/>
        <sz val="9"/>
        <color rgb="FFC00000"/>
        <rFont val="Arial"/>
        <family val="2"/>
      </rPr>
      <t>) CH4=29.8(</t>
    </r>
    <r>
      <rPr>
        <b/>
        <sz val="9"/>
        <color rgb="FFC00000"/>
        <rFont val="Noto Sans CJK SC"/>
        <family val="2"/>
      </rPr>
      <t>화석연료 기준</t>
    </r>
    <r>
      <rPr>
        <b/>
        <sz val="9"/>
        <color rgb="FFC00000"/>
        <rFont val="Arial"/>
        <family val="2"/>
      </rPr>
      <t>), N2O=273</t>
    </r>
  </si>
  <si>
    <r>
      <rPr>
        <i/>
        <sz val="9"/>
        <color rgb="FF666666"/>
        <rFont val="Noto Sans CJK SC"/>
        <family val="2"/>
      </rPr>
      <t>전력배출계수</t>
    </r>
    <r>
      <rPr>
        <i/>
        <sz val="9"/>
        <color rgb="FF666666"/>
        <rFont val="Arial"/>
        <family val="2"/>
      </rPr>
      <t>(</t>
    </r>
    <r>
      <rPr>
        <i/>
        <sz val="9"/>
        <color rgb="FF666666"/>
        <rFont val="Noto Sans CJK SC"/>
        <family val="2"/>
      </rPr>
      <t>별도</t>
    </r>
    <r>
      <rPr>
        <i/>
        <sz val="9"/>
        <color rgb="FF666666"/>
        <rFont val="Arial"/>
        <family val="2"/>
      </rPr>
      <t>, ⑤Scope2_</t>
    </r>
    <r>
      <rPr>
        <i/>
        <sz val="9"/>
        <color rgb="FF666666"/>
        <rFont val="Noto Sans CJK SC"/>
        <family val="2"/>
      </rPr>
      <t>전력 시트 참조</t>
    </r>
    <r>
      <rPr>
        <i/>
        <sz val="9"/>
        <color rgb="FF666666"/>
        <rFont val="Arial"/>
        <family val="2"/>
      </rPr>
      <t xml:space="preserve">): </t>
    </r>
    <r>
      <rPr>
        <i/>
        <sz val="9"/>
        <color rgb="FF666666"/>
        <rFont val="Noto Sans CJK SC"/>
        <family val="2"/>
      </rPr>
      <t xml:space="preserve">발전단 </t>
    </r>
    <r>
      <rPr>
        <i/>
        <sz val="9"/>
        <color rgb="FF666666"/>
        <rFont val="Arial"/>
        <family val="2"/>
      </rPr>
      <t xml:space="preserve">0.3844 / </t>
    </r>
    <r>
      <rPr>
        <i/>
        <sz val="9"/>
        <color rgb="FF666666"/>
        <rFont val="Noto Sans CJK SC"/>
        <family val="2"/>
      </rPr>
      <t xml:space="preserve">소비단 </t>
    </r>
    <r>
      <rPr>
        <i/>
        <sz val="9"/>
        <color rgb="FF666666"/>
        <rFont val="Arial"/>
        <family val="2"/>
      </rPr>
      <t>0.4173 tCO2eq/MWh (</t>
    </r>
    <r>
      <rPr>
        <i/>
        <sz val="9"/>
        <color rgb="FF666666"/>
        <rFont val="Noto Sans CJK SC"/>
        <family val="2"/>
      </rPr>
      <t xml:space="preserve">기후에너지환경부 </t>
    </r>
    <r>
      <rPr>
        <i/>
        <sz val="9"/>
        <color rgb="FF666666"/>
        <rFont val="Arial"/>
        <family val="2"/>
      </rPr>
      <t xml:space="preserve">2025.12 </t>
    </r>
    <r>
      <rPr>
        <i/>
        <sz val="9"/>
        <color rgb="FF666666"/>
        <rFont val="Noto Sans CJK SC"/>
        <family val="2"/>
      </rPr>
      <t>공표</t>
    </r>
    <r>
      <rPr>
        <i/>
        <sz val="9"/>
        <color rgb="FF666666"/>
        <rFont val="Arial"/>
        <family val="2"/>
      </rPr>
      <t>, 2023</t>
    </r>
    <r>
      <rPr>
        <i/>
        <sz val="9"/>
        <color rgb="FF666666"/>
        <rFont val="Noto Sans CJK SC"/>
        <family val="2"/>
      </rPr>
      <t>년 확정치</t>
    </r>
    <r>
      <rPr>
        <i/>
        <sz val="9"/>
        <color rgb="FF666666"/>
        <rFont val="Arial"/>
        <family val="2"/>
      </rPr>
      <t>)</t>
    </r>
  </si>
  <si>
    <r>
      <rPr>
        <b/>
        <sz val="14"/>
        <color rgb="FF1F3864"/>
        <rFont val="Arial"/>
        <family val="2"/>
      </rPr>
      <t xml:space="preserve">Scope 1 — </t>
    </r>
    <r>
      <rPr>
        <b/>
        <sz val="14"/>
        <color rgb="FF1F3864"/>
        <rFont val="Noto Sans CJK SC"/>
        <family val="2"/>
      </rPr>
      <t xml:space="preserve">고정연소 배출량 산정 </t>
    </r>
    <r>
      <rPr>
        <b/>
        <sz val="14"/>
        <color rgb="FF1F3864"/>
        <rFont val="Arial"/>
        <family val="2"/>
      </rPr>
      <t>(</t>
    </r>
    <r>
      <rPr>
        <b/>
        <sz val="14"/>
        <color rgb="FF1F3864"/>
        <rFont val="Noto Sans CJK SC"/>
        <family val="2"/>
      </rPr>
      <t>보일러 등</t>
    </r>
    <r>
      <rPr>
        <b/>
        <sz val="14"/>
        <color rgb="FF1F3864"/>
        <rFont val="Arial"/>
        <family val="2"/>
      </rPr>
      <t>)</t>
    </r>
  </si>
  <si>
    <r>
      <rPr>
        <b/>
        <sz val="10"/>
        <color rgb="FF0E7C7B"/>
        <rFont val="Noto Sans CJK SC"/>
        <family val="2"/>
      </rPr>
      <t xml:space="preserve">예시 </t>
    </r>
    <r>
      <rPr>
        <b/>
        <sz val="10"/>
        <color rgb="FF0E7C7B"/>
        <rFont val="Arial"/>
        <family val="2"/>
      </rPr>
      <t>4</t>
    </r>
    <r>
      <rPr>
        <b/>
        <sz val="10"/>
        <color rgb="FF0E7C7B"/>
        <rFont val="Noto Sans CJK SC"/>
        <family val="2"/>
      </rPr>
      <t>행</t>
    </r>
    <r>
      <rPr>
        <b/>
        <sz val="10"/>
        <color rgb="FF0E7C7B"/>
        <rFont val="Arial"/>
        <family val="2"/>
      </rPr>
      <t>(</t>
    </r>
    <r>
      <rPr>
        <b/>
        <sz val="10"/>
        <color rgb="FF0E7C7B"/>
        <rFont val="Noto Sans CJK SC"/>
        <family val="2"/>
      </rPr>
      <t>회사 기존 자료 재구성</t>
    </r>
    <r>
      <rPr>
        <b/>
        <sz val="10"/>
        <color rgb="FF0E7C7B"/>
        <rFont val="Arial"/>
        <family val="2"/>
      </rPr>
      <t xml:space="preserve">) + </t>
    </r>
    <r>
      <rPr>
        <b/>
        <sz val="10"/>
        <color rgb="FF0E7C7B"/>
        <rFont val="Noto Sans CJK SC"/>
        <family val="2"/>
      </rPr>
      <t xml:space="preserve">빈 행 </t>
    </r>
    <r>
      <rPr>
        <b/>
        <sz val="10"/>
        <color rgb="FF0E7C7B"/>
        <rFont val="Arial"/>
        <family val="2"/>
      </rPr>
      <t>4</t>
    </r>
    <r>
      <rPr>
        <b/>
        <sz val="10"/>
        <color rgb="FF0E7C7B"/>
        <rFont val="Noto Sans CJK SC"/>
        <family val="2"/>
      </rPr>
      <t>개 — 실제 시설별로 행을 추가해 사용하세요</t>
    </r>
    <r>
      <rPr>
        <b/>
        <sz val="10"/>
        <color rgb="FF0E7C7B"/>
        <rFont val="Arial"/>
        <family val="2"/>
      </rPr>
      <t>.</t>
    </r>
  </si>
  <si>
    <r>
      <rPr>
        <i/>
        <sz val="9"/>
        <color rgb="FF666666"/>
        <rFont val="Noto Sans CJK SC"/>
        <family val="2"/>
      </rPr>
      <t>노란 셀</t>
    </r>
    <r>
      <rPr>
        <i/>
        <sz val="9"/>
        <color rgb="FF666666"/>
        <rFont val="Arial"/>
        <family val="2"/>
      </rPr>
      <t>(</t>
    </r>
    <r>
      <rPr>
        <i/>
        <sz val="9"/>
        <color rgb="FF666666"/>
        <rFont val="Noto Sans CJK SC"/>
        <family val="2"/>
      </rPr>
      <t>연료명</t>
    </r>
    <r>
      <rPr>
        <i/>
        <sz val="9"/>
        <color rgb="FF666666"/>
        <rFont val="Arial"/>
        <family val="2"/>
      </rPr>
      <t>·</t>
    </r>
    <r>
      <rPr>
        <i/>
        <sz val="9"/>
        <color rgb="FF666666"/>
        <rFont val="Noto Sans CJK SC"/>
        <family val="2"/>
      </rPr>
      <t>활동량</t>
    </r>
    <r>
      <rPr>
        <i/>
        <sz val="9"/>
        <color rgb="FF666666"/>
        <rFont val="Arial"/>
        <family val="2"/>
      </rPr>
      <t>)</t>
    </r>
    <r>
      <rPr>
        <i/>
        <sz val="9"/>
        <color rgb="FF666666"/>
        <rFont val="Noto Sans CJK SC"/>
        <family val="2"/>
      </rPr>
      <t>만 입력하세요</t>
    </r>
    <r>
      <rPr>
        <i/>
        <sz val="9"/>
        <color rgb="FF666666"/>
        <rFont val="Arial"/>
        <family val="2"/>
      </rPr>
      <t xml:space="preserve">. </t>
    </r>
    <r>
      <rPr>
        <i/>
        <sz val="9"/>
        <color rgb="FF666666"/>
        <rFont val="Noto Sans CJK SC"/>
        <family val="2"/>
      </rPr>
      <t xml:space="preserve">나머지는 ②참조표를 자동으로 불러와 </t>
    </r>
    <r>
      <rPr>
        <i/>
        <sz val="9"/>
        <color rgb="FF666666"/>
        <rFont val="Arial"/>
        <family val="2"/>
      </rPr>
      <t>5</t>
    </r>
    <r>
      <rPr>
        <i/>
        <sz val="9"/>
        <color rgb="FF666666"/>
        <rFont val="Noto Sans CJK SC"/>
        <family val="2"/>
      </rPr>
      <t>단계로 계산됩니다</t>
    </r>
    <r>
      <rPr>
        <i/>
        <sz val="9"/>
        <color rgb="FF666666"/>
        <rFont val="Arial"/>
        <family val="2"/>
      </rPr>
      <t>.</t>
    </r>
  </si>
  <si>
    <r>
      <rPr>
        <b/>
        <sz val="9"/>
        <color rgb="FFFFFFFF"/>
        <rFont val="Arial"/>
        <family val="2"/>
      </rPr>
      <t>1</t>
    </r>
    <r>
      <rPr>
        <b/>
        <sz val="9"/>
        <color rgb="FFFFFFFF"/>
        <rFont val="Noto Sans CJK SC"/>
        <family val="2"/>
      </rPr>
      <t>단계 활동량</t>
    </r>
  </si>
  <si>
    <r>
      <rPr>
        <b/>
        <sz val="9"/>
        <color rgb="FFFFFFFF"/>
        <rFont val="Arial"/>
        <family val="2"/>
      </rPr>
      <t>2</t>
    </r>
    <r>
      <rPr>
        <b/>
        <sz val="9"/>
        <color rgb="FFFFFFFF"/>
        <rFont val="Noto Sans CJK SC"/>
        <family val="2"/>
      </rPr>
      <t>단계 발열량</t>
    </r>
  </si>
  <si>
    <r>
      <rPr>
        <b/>
        <sz val="9"/>
        <color rgb="FFFFFFFF"/>
        <rFont val="Arial"/>
        <family val="2"/>
      </rPr>
      <t>3</t>
    </r>
    <r>
      <rPr>
        <b/>
        <sz val="9"/>
        <color rgb="FFFFFFFF"/>
        <rFont val="Noto Sans CJK SC"/>
        <family val="2"/>
      </rPr>
      <t xml:space="preserve">단계 </t>
    </r>
    <r>
      <rPr>
        <b/>
        <sz val="9"/>
        <color rgb="FFFFFFFF"/>
        <rFont val="Arial"/>
        <family val="2"/>
      </rPr>
      <t>TJ</t>
    </r>
    <r>
      <rPr>
        <b/>
        <sz val="9"/>
        <color rgb="FFFFFFFF"/>
        <rFont val="Noto Sans CJK SC"/>
        <family val="2"/>
      </rPr>
      <t>환산</t>
    </r>
  </si>
  <si>
    <r>
      <rPr>
        <b/>
        <sz val="9"/>
        <color rgb="FFFFFFFF"/>
        <rFont val="Arial"/>
        <family val="2"/>
      </rPr>
      <t>4</t>
    </r>
    <r>
      <rPr>
        <b/>
        <sz val="9"/>
        <color rgb="FFFFFFFF"/>
        <rFont val="Noto Sans CJK SC"/>
        <family val="2"/>
      </rPr>
      <t>단계 배출계수</t>
    </r>
    <r>
      <rPr>
        <b/>
        <sz val="9"/>
        <color rgb="FFFFFFFF"/>
        <rFont val="Arial"/>
        <family val="2"/>
      </rPr>
      <t>(CO2)</t>
    </r>
  </si>
  <si>
    <r>
      <rPr>
        <b/>
        <sz val="9"/>
        <color rgb="FFFFFFFF"/>
        <rFont val="Arial"/>
        <family val="2"/>
      </rPr>
      <t>5</t>
    </r>
    <r>
      <rPr>
        <b/>
        <sz val="9"/>
        <color rgb="FFFFFFFF"/>
        <rFont val="Noto Sans CJK SC"/>
        <family val="2"/>
      </rPr>
      <t>단계 산화계수</t>
    </r>
  </si>
  <si>
    <r>
      <rPr>
        <b/>
        <sz val="9"/>
        <color rgb="FFFFFFFF"/>
        <rFont val="Arial"/>
        <family val="2"/>
      </rPr>
      <t xml:space="preserve">CO2 </t>
    </r>
    <r>
      <rPr>
        <b/>
        <sz val="9"/>
        <color rgb="FFFFFFFF"/>
        <rFont val="Noto Sans CJK SC"/>
        <family val="2"/>
      </rPr>
      <t>배출량</t>
    </r>
  </si>
  <si>
    <r>
      <rPr>
        <b/>
        <sz val="9"/>
        <color rgb="FFFFFFFF"/>
        <rFont val="Noto Sans CJK SC"/>
        <family val="2"/>
      </rPr>
      <t>보조가스</t>
    </r>
    <r>
      <rPr>
        <b/>
        <sz val="9"/>
        <color rgb="FFFFFFFF"/>
        <rFont val="Arial"/>
        <family val="2"/>
      </rPr>
      <t>(CH4)</t>
    </r>
  </si>
  <si>
    <r>
      <rPr>
        <b/>
        <sz val="9"/>
        <color rgb="FFFFFFFF"/>
        <rFont val="Noto Sans CJK SC"/>
        <family val="2"/>
      </rPr>
      <t>보조가스</t>
    </r>
    <r>
      <rPr>
        <b/>
        <sz val="9"/>
        <color rgb="FFFFFFFF"/>
        <rFont val="Arial"/>
        <family val="2"/>
      </rPr>
      <t>(N2O)</t>
    </r>
  </si>
  <si>
    <r>
      <rPr>
        <b/>
        <sz val="9"/>
        <color rgb="FFFFFFFF"/>
        <rFont val="Arial"/>
        <family val="2"/>
      </rPr>
      <t xml:space="preserve">CO2eq — AR5(K-ETS </t>
    </r>
    <r>
      <rPr>
        <b/>
        <sz val="9"/>
        <color rgb="FFFFFFFF"/>
        <rFont val="Noto Sans CJK SC"/>
        <family val="2"/>
      </rPr>
      <t>현행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</si>
  <si>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Arial"/>
        <family val="2"/>
      </rPr>
      <t xml:space="preserve">CO2eq — AR6(CBAM·ISSB </t>
    </r>
    <r>
      <rPr>
        <b/>
        <sz val="9"/>
        <color rgb="FFFFFFFF"/>
        <rFont val="Noto Sans CJK SC"/>
        <family val="2"/>
      </rPr>
      <t>등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</si>
  <si>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산식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검증용</t>
    </r>
    <r>
      <rPr>
        <b/>
        <sz val="9"/>
        <color rgb="FFFFFFFF"/>
        <rFont val="Arial"/>
        <family val="2"/>
      </rPr>
      <t>) AR5</t>
    </r>
  </si>
  <si>
    <r>
      <rPr>
        <b/>
        <sz val="9"/>
        <color rgb="FFFFFFFF"/>
        <rFont val="Noto Sans CJK SC"/>
        <family val="2"/>
      </rPr>
      <t>산식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검증용</t>
    </r>
    <r>
      <rPr>
        <b/>
        <sz val="9"/>
        <color rgb="FFFFFFFF"/>
        <rFont val="Arial"/>
        <family val="2"/>
      </rPr>
      <t>) AR6</t>
    </r>
  </si>
  <si>
    <r>
      <rPr>
        <b/>
        <sz val="10"/>
        <color rgb="FFFFFFFF"/>
        <rFont val="Noto Sans CJK SC"/>
        <family val="2"/>
      </rPr>
      <t xml:space="preserve">연료명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참조표와 동일 명칭</t>
    </r>
    <r>
      <rPr>
        <b/>
        <sz val="10"/>
        <color rgb="FFFFFFFF"/>
        <rFont val="Arial"/>
        <family val="2"/>
      </rPr>
      <t>)</t>
    </r>
  </si>
  <si>
    <t>활동량</t>
  </si>
  <si>
    <r>
      <rPr>
        <b/>
        <sz val="10"/>
        <color rgb="FFFFFFFF"/>
        <rFont val="Noto Sans CJK SC"/>
        <family val="2"/>
      </rPr>
      <t xml:space="preserve">발열량
</t>
    </r>
    <r>
      <rPr>
        <b/>
        <sz val="10"/>
        <color rgb="FFFFFFFF"/>
        <rFont val="Arial"/>
        <family val="2"/>
      </rPr>
      <t>(MJ/</t>
    </r>
    <r>
      <rPr>
        <b/>
        <sz val="10"/>
        <color rgb="FFFFFFFF"/>
        <rFont val="Noto Sans CJK SC"/>
        <family val="2"/>
      </rPr>
      <t>단위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</si>
  <si>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에너지사용량
</t>
    </r>
    <r>
      <rPr>
        <b/>
        <sz val="10"/>
        <color rgb="FFFFFFFF"/>
        <rFont val="Arial"/>
        <family val="2"/>
      </rPr>
      <t>(TJ)</t>
    </r>
  </si>
  <si>
    <r>
      <rPr>
        <b/>
        <sz val="10"/>
        <color rgb="FFFFFFFF"/>
        <rFont val="Arial"/>
        <family val="2"/>
      </rPr>
      <t>CO2</t>
    </r>
    <r>
      <rPr>
        <b/>
        <sz val="10"/>
        <color rgb="FFFFFFFF"/>
        <rFont val="Noto Sans CJK SC"/>
        <family val="2"/>
      </rPr>
      <t xml:space="preserve">계수
</t>
    </r>
    <r>
      <rPr>
        <b/>
        <sz val="10"/>
        <color rgb="FFFFFFFF"/>
        <rFont val="Arial"/>
        <family val="2"/>
      </rPr>
      <t>(kgCO2/TJ)</t>
    </r>
  </si>
  <si>
    <t>산화계수</t>
  </si>
  <si>
    <r>
      <rPr>
        <b/>
        <sz val="10"/>
        <color rgb="FFFFFFFF"/>
        <rFont val="Arial"/>
        <family val="2"/>
      </rPr>
      <t>CO2</t>
    </r>
    <r>
      <rPr>
        <b/>
        <sz val="10"/>
        <color rgb="FFFFFFFF"/>
        <rFont val="Noto Sans CJK SC"/>
        <family val="2"/>
      </rPr>
      <t xml:space="preserve">배출량
</t>
    </r>
    <r>
      <rPr>
        <b/>
        <sz val="10"/>
        <color rgb="FFFFFFFF"/>
        <rFont val="Arial"/>
        <family val="2"/>
      </rPr>
      <t>(kgCO2)</t>
    </r>
  </si>
  <si>
    <r>
      <rPr>
        <b/>
        <sz val="10"/>
        <color rgb="FFFFFFFF"/>
        <rFont val="Arial"/>
        <family val="2"/>
      </rPr>
      <t>CH4</t>
    </r>
    <r>
      <rPr>
        <b/>
        <sz val="10"/>
        <color rgb="FFFFFFFF"/>
        <rFont val="Noto Sans CJK SC"/>
        <family val="2"/>
      </rPr>
      <t xml:space="preserve">계수
</t>
    </r>
    <r>
      <rPr>
        <b/>
        <sz val="10"/>
        <color rgb="FFFFFFFF"/>
        <rFont val="Arial"/>
        <family val="2"/>
      </rPr>
      <t>(kgCH4/TJ)</t>
    </r>
  </si>
  <si>
    <r>
      <rPr>
        <b/>
        <sz val="10"/>
        <color rgb="FFFFFFFF"/>
        <rFont val="Arial"/>
        <family val="2"/>
      </rPr>
      <t>CH4</t>
    </r>
    <r>
      <rPr>
        <b/>
        <sz val="10"/>
        <color rgb="FFFFFFFF"/>
        <rFont val="Noto Sans CJK SC"/>
        <family val="2"/>
      </rPr>
      <t xml:space="preserve">배출량
</t>
    </r>
    <r>
      <rPr>
        <b/>
        <sz val="10"/>
        <color rgb="FFFFFFFF"/>
        <rFont val="Arial"/>
        <family val="2"/>
      </rPr>
      <t>(kgCH4)</t>
    </r>
  </si>
  <si>
    <r>
      <rPr>
        <b/>
        <sz val="10"/>
        <color rgb="FFFFFFFF"/>
        <rFont val="Arial"/>
        <family val="2"/>
      </rPr>
      <t>N2O</t>
    </r>
    <r>
      <rPr>
        <b/>
        <sz val="10"/>
        <color rgb="FFFFFFFF"/>
        <rFont val="Noto Sans CJK SC"/>
        <family val="2"/>
      </rPr>
      <t xml:space="preserve">계수
</t>
    </r>
    <r>
      <rPr>
        <b/>
        <sz val="10"/>
        <color rgb="FFFFFFFF"/>
        <rFont val="Arial"/>
        <family val="2"/>
      </rPr>
      <t>(kgN2O/TJ)</t>
    </r>
  </si>
  <si>
    <r>
      <rPr>
        <b/>
        <sz val="10"/>
        <color rgb="FFFFFFFF"/>
        <rFont val="Arial"/>
        <family val="2"/>
      </rPr>
      <t>N2O</t>
    </r>
    <r>
      <rPr>
        <b/>
        <sz val="10"/>
        <color rgb="FFFFFFFF"/>
        <rFont val="Noto Sans CJK SC"/>
        <family val="2"/>
      </rPr>
      <t xml:space="preserve">배출량
</t>
    </r>
    <r>
      <rPr>
        <b/>
        <sz val="10"/>
        <color rgb="FFFFFFFF"/>
        <rFont val="Arial"/>
        <family val="2"/>
      </rPr>
      <t>(kgN2O)</t>
    </r>
  </si>
  <si>
    <t>CO2eq-AR5
(kg)</t>
  </si>
  <si>
    <t>CO2eq-AR5
(tCO2eq)</t>
  </si>
  <si>
    <t>CO2eq-AR6
(kg)</t>
  </si>
  <si>
    <t>CO2eq-AR6
(tCO2eq)</t>
  </si>
  <si>
    <r>
      <rPr>
        <b/>
        <sz val="10"/>
        <color rgb="FFFFFFFF"/>
        <rFont val="Noto Sans CJK SC"/>
        <family val="2"/>
      </rPr>
      <t>계산식</t>
    </r>
    <r>
      <rPr>
        <b/>
        <sz val="10"/>
        <color rgb="FFFFFFFF"/>
        <rFont val="Arial"/>
        <family val="2"/>
      </rPr>
      <t xml:space="preserve">(AR5, </t>
    </r>
    <r>
      <rPr>
        <b/>
        <sz val="10"/>
        <color rgb="FFFFFFFF"/>
        <rFont val="Noto Sans CJK SC"/>
        <family val="2"/>
      </rPr>
      <t>검증용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</si>
  <si>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계산식</t>
    </r>
    <r>
      <rPr>
        <b/>
        <sz val="10"/>
        <color rgb="FFFFFFFF"/>
        <rFont val="Arial"/>
        <family val="2"/>
      </rPr>
      <t xml:space="preserve">(AR6, </t>
    </r>
    <r>
      <rPr>
        <b/>
        <sz val="10"/>
        <color rgb="FFFFFFFF"/>
        <rFont val="Noto Sans CJK SC"/>
        <family val="2"/>
      </rPr>
      <t>검증용</t>
    </r>
    <r>
      <rPr>
        <b/>
        <sz val="10"/>
        <color rgb="FFFFFFFF"/>
        <rFont val="Arial"/>
        <family val="2"/>
      </rPr>
      <t>)</t>
    </r>
  </si>
  <si>
    <r>
      <rPr>
        <sz val="11"/>
        <color theme="1"/>
        <rFont val="Noto Sans CJK SC"/>
        <family val="2"/>
      </rPr>
      <t>도시가스</t>
    </r>
    <r>
      <rPr>
        <sz val="11"/>
        <color theme="1"/>
        <rFont val="Calibri"/>
        <family val="2"/>
        <charset val="1"/>
      </rPr>
      <t>/LNG</t>
    </r>
  </si>
  <si>
    <r>
      <rPr>
        <sz val="11"/>
        <color theme="1"/>
        <rFont val="Noto Sans CJK SC"/>
        <family val="2"/>
      </rPr>
      <t>경유</t>
    </r>
    <r>
      <rPr>
        <sz val="11"/>
        <color theme="1"/>
        <rFont val="Calibri"/>
        <family val="2"/>
        <charset val="1"/>
      </rPr>
      <t>(Diesel)</t>
    </r>
  </si>
  <si>
    <r>
      <rPr>
        <sz val="11"/>
        <color theme="1"/>
        <rFont val="Calibri"/>
        <family val="2"/>
        <charset val="1"/>
      </rPr>
      <t>LPG-</t>
    </r>
    <r>
      <rPr>
        <sz val="11"/>
        <color theme="1"/>
        <rFont val="Noto Sans CJK SC"/>
        <family val="2"/>
      </rPr>
      <t>프로판</t>
    </r>
    <r>
      <rPr>
        <sz val="11"/>
        <color theme="1"/>
        <rFont val="Calibri"/>
        <family val="2"/>
        <charset val="1"/>
      </rPr>
      <t>(LPG1</t>
    </r>
    <r>
      <rPr>
        <sz val="11"/>
        <color theme="1"/>
        <rFont val="Noto Sans CJK SC"/>
        <family val="2"/>
      </rPr>
      <t>호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</si>
  <si>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등유</t>
    </r>
    <r>
      <rPr>
        <sz val="11"/>
        <color theme="1"/>
        <rFont val="Calibri"/>
        <family val="2"/>
        <charset val="1"/>
      </rPr>
      <t>(Kerosene)</t>
    </r>
  </si>
  <si>
    <t>합계</t>
  </si>
  <si>
    <r>
      <rPr>
        <i/>
        <sz val="9"/>
        <color rgb="FF666666"/>
        <rFont val="Noto Sans CJK SC"/>
        <family val="2"/>
      </rPr>
      <t>주</t>
    </r>
    <r>
      <rPr>
        <i/>
        <sz val="9"/>
        <color rgb="FF666666"/>
        <rFont val="Arial"/>
        <family val="2"/>
      </rPr>
      <t xml:space="preserve">1) </t>
    </r>
    <r>
      <rPr>
        <i/>
        <sz val="9"/>
        <color rgb="FF666666"/>
        <rFont val="Noto Sans CJK SC"/>
        <family val="2"/>
      </rPr>
      <t>연료명은 반드시 ②참조표의 명칭과 정확히 일치해야 자동계산됩니다</t>
    </r>
    <r>
      <rPr>
        <i/>
        <sz val="9"/>
        <color rgb="FF666666"/>
        <rFont val="Arial"/>
        <family val="2"/>
      </rPr>
      <t>(</t>
    </r>
    <r>
      <rPr>
        <i/>
        <sz val="9"/>
        <color rgb="FF666666"/>
        <rFont val="Noto Sans CJK SC"/>
        <family val="2"/>
      </rPr>
      <t>오타 시 공란 표시</t>
    </r>
    <r>
      <rPr>
        <i/>
        <sz val="9"/>
        <color rgb="FF666666"/>
        <rFont val="Arial"/>
        <family val="2"/>
      </rPr>
      <t>).</t>
    </r>
  </si>
  <si>
    <r>
      <rPr>
        <i/>
        <sz val="9"/>
        <color rgb="FF666666"/>
        <rFont val="Noto Sans CJK SC"/>
        <family val="2"/>
      </rPr>
      <t>주</t>
    </r>
    <r>
      <rPr>
        <i/>
        <sz val="9"/>
        <color rgb="FF666666"/>
        <rFont val="Arial"/>
        <family val="2"/>
      </rPr>
      <t>2) CO2</t>
    </r>
    <r>
      <rPr>
        <i/>
        <sz val="9"/>
        <color rgb="FF666666"/>
        <rFont val="Noto Sans CJK SC"/>
        <family val="2"/>
      </rPr>
      <t>는 국가고유</t>
    </r>
    <r>
      <rPr>
        <i/>
        <sz val="9"/>
        <color rgb="FF666666"/>
        <rFont val="Arial"/>
        <family val="2"/>
      </rPr>
      <t xml:space="preserve">(Tier2, </t>
    </r>
    <r>
      <rPr>
        <i/>
        <sz val="9"/>
        <color rgb="FF666666"/>
        <rFont val="Noto Sans CJK SC"/>
        <family val="2"/>
      </rPr>
      <t>별표</t>
    </r>
    <r>
      <rPr>
        <i/>
        <sz val="9"/>
        <color rgb="FF666666"/>
        <rFont val="Arial"/>
        <family val="2"/>
      </rPr>
      <t>12), CH4·N2O</t>
    </r>
    <r>
      <rPr>
        <i/>
        <sz val="9"/>
        <color rgb="FF666666"/>
        <rFont val="Noto Sans CJK SC"/>
        <family val="2"/>
      </rPr>
      <t xml:space="preserve">는 </t>
    </r>
    <r>
      <rPr>
        <i/>
        <sz val="9"/>
        <color rgb="FF666666"/>
        <rFont val="Arial"/>
        <family val="2"/>
      </rPr>
      <t xml:space="preserve">IPCC(Tier1, </t>
    </r>
    <r>
      <rPr>
        <i/>
        <sz val="9"/>
        <color rgb="FF666666"/>
        <rFont val="Noto Sans CJK SC"/>
        <family val="2"/>
      </rPr>
      <t>별표</t>
    </r>
    <r>
      <rPr>
        <i/>
        <sz val="9"/>
        <color rgb="FF666666"/>
        <rFont val="Arial"/>
        <family val="2"/>
      </rPr>
      <t>10)</t>
    </r>
    <r>
      <rPr>
        <i/>
        <sz val="9"/>
        <color rgb="FF666666"/>
        <rFont val="Noto Sans CJK SC"/>
        <family val="2"/>
      </rPr>
      <t>를 사용하는 것은 지침상 허용되는 정상 조합입니다</t>
    </r>
    <r>
      <rPr>
        <i/>
        <sz val="9"/>
        <color rgb="FF666666"/>
        <rFont val="Arial"/>
        <family val="2"/>
      </rPr>
      <t>.</t>
    </r>
  </si>
  <si>
    <r>
      <rPr>
        <i/>
        <sz val="9"/>
        <color rgb="FF666666"/>
        <rFont val="Noto Sans CJK SC"/>
        <family val="2"/>
      </rPr>
      <t>주</t>
    </r>
    <r>
      <rPr>
        <i/>
        <sz val="9"/>
        <color rgb="FF666666"/>
        <rFont val="Arial"/>
        <family val="2"/>
      </rPr>
      <t xml:space="preserve">3) </t>
    </r>
    <r>
      <rPr>
        <i/>
        <sz val="9"/>
        <color rgb="FF666666"/>
        <rFont val="Noto Sans CJK SC"/>
        <family val="2"/>
      </rPr>
      <t xml:space="preserve">산화계수는 </t>
    </r>
    <r>
      <rPr>
        <i/>
        <sz val="9"/>
        <color rgb="FF666666"/>
        <rFont val="Arial"/>
        <family val="2"/>
      </rPr>
      <t>CO2</t>
    </r>
    <r>
      <rPr>
        <i/>
        <sz val="9"/>
        <color rgb="FF666666"/>
        <rFont val="Noto Sans CJK SC"/>
        <family val="2"/>
      </rPr>
      <t>에만 적용합니다</t>
    </r>
    <r>
      <rPr>
        <i/>
        <sz val="9"/>
        <color rgb="FF666666"/>
        <rFont val="Arial"/>
        <family val="2"/>
      </rPr>
      <t>(CH4·N2O</t>
    </r>
    <r>
      <rPr>
        <i/>
        <sz val="9"/>
        <color rgb="FF666666"/>
        <rFont val="Noto Sans CJK SC"/>
        <family val="2"/>
      </rPr>
      <t>는 산화계수 미적용</t>
    </r>
    <r>
      <rPr>
        <i/>
        <sz val="9"/>
        <color rgb="FF666666"/>
        <rFont val="Arial"/>
        <family val="2"/>
      </rPr>
      <t xml:space="preserve">, </t>
    </r>
    <r>
      <rPr>
        <i/>
        <sz val="9"/>
        <color rgb="FF666666"/>
        <rFont val="Noto Sans CJK SC"/>
        <family val="2"/>
      </rPr>
      <t>제</t>
    </r>
    <r>
      <rPr>
        <i/>
        <sz val="9"/>
        <color rgb="FF666666"/>
        <rFont val="Arial"/>
        <family val="2"/>
      </rPr>
      <t>2</t>
    </r>
    <r>
      <rPr>
        <i/>
        <sz val="9"/>
        <color rgb="FF666666"/>
        <rFont val="Noto Sans CJK SC"/>
        <family val="2"/>
      </rPr>
      <t>조</t>
    </r>
    <r>
      <rPr>
        <i/>
        <sz val="9"/>
        <color rgb="FF666666"/>
        <rFont val="Arial"/>
        <family val="2"/>
      </rPr>
      <t>24</t>
    </r>
    <r>
      <rPr>
        <i/>
        <sz val="9"/>
        <color rgb="FF666666"/>
        <rFont val="Noto Sans CJK SC"/>
        <family val="2"/>
      </rPr>
      <t>호</t>
    </r>
    <r>
      <rPr>
        <i/>
        <sz val="9"/>
        <color rgb="FF666666"/>
        <rFont val="Arial"/>
        <family val="2"/>
      </rPr>
      <t>·</t>
    </r>
    <r>
      <rPr>
        <i/>
        <sz val="9"/>
        <color rgb="FF666666"/>
        <rFont val="Noto Sans CJK SC"/>
        <family val="2"/>
      </rPr>
      <t>정의 참조</t>
    </r>
    <r>
      <rPr>
        <i/>
        <sz val="9"/>
        <color rgb="FF666666"/>
        <rFont val="Arial"/>
        <family val="2"/>
      </rPr>
      <t>).</t>
    </r>
  </si>
  <si>
    <r>
      <rPr>
        <b/>
        <sz val="9"/>
        <color rgb="FFC00000"/>
        <rFont val="Noto Sans CJK SC"/>
        <family val="2"/>
      </rPr>
      <t>주</t>
    </r>
    <r>
      <rPr>
        <b/>
        <sz val="9"/>
        <color rgb="FFC00000"/>
        <rFont val="Arial"/>
        <family val="2"/>
      </rPr>
      <t xml:space="preserve">4) AR5=K-ETS </t>
    </r>
    <r>
      <rPr>
        <b/>
        <sz val="9"/>
        <color rgb="FFC00000"/>
        <rFont val="Noto Sans CJK SC"/>
        <family val="2"/>
      </rPr>
      <t>국내 공식보고 기준</t>
    </r>
    <r>
      <rPr>
        <b/>
        <sz val="9"/>
        <color rgb="FFC00000"/>
        <rFont val="Arial"/>
        <family val="2"/>
      </rPr>
      <t>(</t>
    </r>
    <r>
      <rPr>
        <b/>
        <sz val="9"/>
        <color rgb="FFC00000"/>
        <rFont val="Noto Sans CJK SC"/>
        <family val="2"/>
      </rPr>
      <t>제출용</t>
    </r>
    <r>
      <rPr>
        <b/>
        <sz val="9"/>
        <color rgb="FFC00000"/>
        <rFont val="Arial"/>
        <family val="2"/>
      </rPr>
      <t xml:space="preserve">) / AR6=CBAM·ISSB </t>
    </r>
    <r>
      <rPr>
        <b/>
        <sz val="9"/>
        <color rgb="FFC00000"/>
        <rFont val="Noto Sans CJK SC"/>
        <family val="2"/>
      </rPr>
      <t xml:space="preserve">등 국제보고 대응용 — 국내 명세서는 </t>
    </r>
    <r>
      <rPr>
        <b/>
        <sz val="9"/>
        <color rgb="FFC00000"/>
        <rFont val="Arial"/>
        <family val="2"/>
      </rPr>
      <t xml:space="preserve">AR5 </t>
    </r>
    <r>
      <rPr>
        <b/>
        <sz val="9"/>
        <color rgb="FFC00000"/>
        <rFont val="Noto Sans CJK SC"/>
        <family val="2"/>
      </rPr>
      <t>값을 사용하세요</t>
    </r>
    <r>
      <rPr>
        <b/>
        <sz val="9"/>
        <color rgb="FFC00000"/>
        <rFont val="Arial"/>
        <family val="2"/>
      </rPr>
      <t>.</t>
    </r>
  </si>
  <si>
    <r>
      <rPr>
        <b/>
        <sz val="14"/>
        <color rgb="FF1F3864"/>
        <rFont val="Arial"/>
        <family val="2"/>
      </rPr>
      <t xml:space="preserve">Scope 1 — </t>
    </r>
    <r>
      <rPr>
        <b/>
        <sz val="14"/>
        <color rgb="FF1F3864"/>
        <rFont val="Noto Sans CJK SC"/>
        <family val="2"/>
      </rPr>
      <t xml:space="preserve">이동연소 배출량 산정 </t>
    </r>
    <r>
      <rPr>
        <b/>
        <sz val="14"/>
        <color rgb="FF1F3864"/>
        <rFont val="Arial"/>
        <family val="2"/>
      </rPr>
      <t>(</t>
    </r>
    <r>
      <rPr>
        <b/>
        <sz val="14"/>
        <color rgb="FF1F3864"/>
        <rFont val="Noto Sans CJK SC"/>
        <family val="2"/>
      </rPr>
      <t>사업장 보유 차량</t>
    </r>
    <r>
      <rPr>
        <b/>
        <sz val="14"/>
        <color rgb="FF1F3864"/>
        <rFont val="Arial"/>
        <family val="2"/>
      </rPr>
      <t>)</t>
    </r>
  </si>
  <si>
    <r>
      <rPr>
        <b/>
        <sz val="10"/>
        <color rgb="FF0E7C7B"/>
        <rFont val="Noto Sans CJK SC"/>
        <family val="2"/>
      </rPr>
      <t xml:space="preserve">예시 </t>
    </r>
    <r>
      <rPr>
        <b/>
        <sz val="10"/>
        <color rgb="FF0E7C7B"/>
        <rFont val="Arial"/>
        <family val="2"/>
      </rPr>
      <t>3</t>
    </r>
    <r>
      <rPr>
        <b/>
        <sz val="10"/>
        <color rgb="FF0E7C7B"/>
        <rFont val="Noto Sans CJK SC"/>
        <family val="2"/>
      </rPr>
      <t>행</t>
    </r>
    <r>
      <rPr>
        <b/>
        <sz val="10"/>
        <color rgb="FF0E7C7B"/>
        <rFont val="Arial"/>
        <family val="2"/>
      </rPr>
      <t>(</t>
    </r>
    <r>
      <rPr>
        <b/>
        <sz val="10"/>
        <color rgb="FF0E7C7B"/>
        <rFont val="Noto Sans CJK SC"/>
        <family val="2"/>
      </rPr>
      <t>화물트럭</t>
    </r>
    <r>
      <rPr>
        <b/>
        <sz val="10"/>
        <color rgb="FF0E7C7B"/>
        <rFont val="Arial"/>
        <family val="2"/>
      </rPr>
      <t>·</t>
    </r>
    <r>
      <rPr>
        <b/>
        <sz val="10"/>
        <color rgb="FF0E7C7B"/>
        <rFont val="Noto Sans CJK SC"/>
        <family val="2"/>
      </rPr>
      <t>승합</t>
    </r>
    <r>
      <rPr>
        <b/>
        <sz val="10"/>
        <color rgb="FF0E7C7B"/>
        <rFont val="Arial"/>
        <family val="2"/>
      </rPr>
      <t>·</t>
    </r>
    <r>
      <rPr>
        <b/>
        <sz val="10"/>
        <color rgb="FF0E7C7B"/>
        <rFont val="Noto Sans CJK SC"/>
        <family val="2"/>
      </rPr>
      <t>승용</t>
    </r>
    <r>
      <rPr>
        <b/>
        <sz val="10"/>
        <color rgb="FF0E7C7B"/>
        <rFont val="Arial"/>
        <family val="2"/>
      </rPr>
      <t xml:space="preserve">) + </t>
    </r>
    <r>
      <rPr>
        <b/>
        <sz val="10"/>
        <color rgb="FF0E7C7B"/>
        <rFont val="Noto Sans CJK SC"/>
        <family val="2"/>
      </rPr>
      <t xml:space="preserve">빈 행 </t>
    </r>
    <r>
      <rPr>
        <b/>
        <sz val="10"/>
        <color rgb="FF0E7C7B"/>
        <rFont val="Arial"/>
        <family val="2"/>
      </rPr>
      <t>4</t>
    </r>
    <r>
      <rPr>
        <b/>
        <sz val="10"/>
        <color rgb="FF0E7C7B"/>
        <rFont val="Noto Sans CJK SC"/>
        <family val="2"/>
      </rPr>
      <t>개 — 차량별로 행을 추가해 사용하세요</t>
    </r>
    <r>
      <rPr>
        <b/>
        <sz val="10"/>
        <color rgb="FF0E7C7B"/>
        <rFont val="Arial"/>
        <family val="2"/>
      </rPr>
      <t>.</t>
    </r>
  </si>
  <si>
    <r>
      <rPr>
        <i/>
        <sz val="9"/>
        <color rgb="FF666666"/>
        <rFont val="Noto Sans CJK SC"/>
        <family val="2"/>
      </rPr>
      <t>참고</t>
    </r>
    <r>
      <rPr>
        <i/>
        <sz val="9"/>
        <color rgb="FF666666"/>
        <rFont val="Arial"/>
        <family val="2"/>
      </rPr>
      <t xml:space="preserve">: </t>
    </r>
    <r>
      <rPr>
        <i/>
        <sz val="9"/>
        <color rgb="FF666666"/>
        <rFont val="Noto Sans CJK SC"/>
        <family val="2"/>
      </rPr>
      <t>별표</t>
    </r>
    <r>
      <rPr>
        <i/>
        <sz val="9"/>
        <color rgb="FF666666"/>
        <rFont val="Arial"/>
        <family val="2"/>
      </rPr>
      <t>12</t>
    </r>
    <r>
      <rPr>
        <i/>
        <sz val="9"/>
        <color rgb="FF666666"/>
        <rFont val="Noto Sans CJK SC"/>
        <family val="2"/>
      </rPr>
      <t>는 연료의 물리적 성상 기준 계수이므로 고정연소</t>
    </r>
    <r>
      <rPr>
        <i/>
        <sz val="9"/>
        <color rgb="FF666666"/>
        <rFont val="Arial"/>
        <family val="2"/>
      </rPr>
      <t>·</t>
    </r>
    <r>
      <rPr>
        <i/>
        <sz val="9"/>
        <color rgb="FF666666"/>
        <rFont val="Noto Sans CJK SC"/>
        <family val="2"/>
      </rPr>
      <t>이동연소 동일 연료는 같은 값을 사용합니다</t>
    </r>
    <r>
      <rPr>
        <i/>
        <sz val="9"/>
        <color rgb="FF666666"/>
        <rFont val="Arial"/>
        <family val="2"/>
      </rPr>
      <t xml:space="preserve">. </t>
    </r>
    <r>
      <rPr>
        <i/>
        <sz val="9"/>
        <color rgb="FF666666"/>
        <rFont val="Noto Sans CJK SC"/>
        <family val="2"/>
      </rPr>
      <t>차량 전용 별도 계수가 고시된 경우 그 값으로 교체하세요</t>
    </r>
    <r>
      <rPr>
        <i/>
        <sz val="9"/>
        <color rgb="FF666666"/>
        <rFont val="Arial"/>
        <family val="2"/>
      </rPr>
      <t>.</t>
    </r>
  </si>
  <si>
    <r>
      <rPr>
        <sz val="11"/>
        <color theme="1"/>
        <rFont val="Noto Sans CJK SC"/>
        <family val="2"/>
      </rPr>
      <t>휘발유</t>
    </r>
    <r>
      <rPr>
        <sz val="11"/>
        <color theme="1"/>
        <rFont val="Calibri"/>
        <family val="2"/>
        <charset val="1"/>
      </rPr>
      <t>(Gasoline)</t>
    </r>
  </si>
  <si>
    <r>
      <rPr>
        <b/>
        <sz val="14"/>
        <color rgb="FF1F3864"/>
        <rFont val="Arial"/>
        <family val="2"/>
      </rPr>
      <t xml:space="preserve">Scope 2 — </t>
    </r>
    <r>
      <rPr>
        <b/>
        <sz val="14"/>
        <color rgb="FF1F3864"/>
        <rFont val="Noto Sans CJK SC"/>
        <family val="2"/>
      </rPr>
      <t xml:space="preserve">구매전력 배출량 산정 </t>
    </r>
    <r>
      <rPr>
        <b/>
        <sz val="14"/>
        <color rgb="FF1F3864"/>
        <rFont val="Arial"/>
        <family val="2"/>
      </rPr>
      <t xml:space="preserve">(LB·MB </t>
    </r>
    <r>
      <rPr>
        <b/>
        <sz val="14"/>
        <color rgb="FF1F3864"/>
        <rFont val="Noto Sans CJK SC"/>
        <family val="2"/>
      </rPr>
      <t>병행</t>
    </r>
    <r>
      <rPr>
        <b/>
        <sz val="14"/>
        <color rgb="FF1F3864"/>
        <rFont val="Arial"/>
        <family val="2"/>
      </rPr>
      <t>)</t>
    </r>
  </si>
  <si>
    <r>
      <rPr>
        <b/>
        <sz val="10"/>
        <color rgb="FF0E7C7B"/>
        <rFont val="Arial"/>
        <family val="2"/>
      </rPr>
      <t xml:space="preserve">Scope2 </t>
    </r>
    <r>
      <rPr>
        <b/>
        <sz val="10"/>
        <color rgb="FF0E7C7B"/>
        <rFont val="Noto Sans CJK SC"/>
        <family val="2"/>
      </rPr>
      <t>보고는 원칙적으로 발전단</t>
    </r>
    <r>
      <rPr>
        <b/>
        <sz val="10"/>
        <color rgb="FF0E7C7B"/>
        <rFont val="Arial"/>
        <family val="2"/>
      </rPr>
      <t xml:space="preserve">(LB) </t>
    </r>
    <r>
      <rPr>
        <b/>
        <sz val="10"/>
        <color rgb="FF0E7C7B"/>
        <rFont val="Noto Sans CJK SC"/>
        <family val="2"/>
      </rPr>
      <t>계수 우선 권장</t>
    </r>
    <r>
      <rPr>
        <b/>
        <sz val="10"/>
        <color rgb="FF0E7C7B"/>
        <rFont val="Arial"/>
        <family val="2"/>
      </rPr>
      <t xml:space="preserve">. RE100·SBTi </t>
    </r>
    <r>
      <rPr>
        <b/>
        <sz val="10"/>
        <color rgb="FF0E7C7B"/>
        <rFont val="Noto Sans CJK SC"/>
        <family val="2"/>
      </rPr>
      <t xml:space="preserve">등 대응 시 </t>
    </r>
    <r>
      <rPr>
        <b/>
        <sz val="10"/>
        <color rgb="FF0E7C7B"/>
        <rFont val="Arial"/>
        <family val="2"/>
      </rPr>
      <t>MB</t>
    </r>
    <r>
      <rPr>
        <b/>
        <sz val="10"/>
        <color rgb="FF0E7C7B"/>
        <rFont val="Noto Sans CJK SC"/>
        <family val="2"/>
      </rPr>
      <t>도 함께 관리</t>
    </r>
    <r>
      <rPr>
        <b/>
        <sz val="10"/>
        <color rgb="FF0E7C7B"/>
        <rFont val="Arial"/>
        <family val="2"/>
      </rPr>
      <t>.</t>
    </r>
  </si>
  <si>
    <t>항목</t>
  </si>
  <si>
    <r>
      <rPr>
        <b/>
        <sz val="10"/>
        <color rgb="FFFFFFFF"/>
        <rFont val="Noto Sans CJK SC"/>
        <family val="2"/>
      </rPr>
      <t>활동량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입력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</si>
  <si>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배출계수
</t>
    </r>
    <r>
      <rPr>
        <b/>
        <sz val="10"/>
        <color rgb="FFFFFFFF"/>
        <rFont val="Arial"/>
        <family val="2"/>
      </rPr>
      <t>(tCO2eq/MWh)</t>
    </r>
  </si>
  <si>
    <r>
      <rPr>
        <b/>
        <sz val="10"/>
        <color rgb="FFFFFFFF"/>
        <rFont val="Noto Sans CJK SC"/>
        <family val="2"/>
      </rPr>
      <t>배출량</t>
    </r>
    <r>
      <rPr>
        <b/>
        <sz val="10"/>
        <color rgb="FFFFFFFF"/>
        <rFont val="Arial"/>
        <family val="2"/>
      </rPr>
      <t>(tCO2eq)</t>
    </r>
  </si>
  <si>
    <r>
      <rPr>
        <b/>
        <sz val="10"/>
        <rFont val="Noto Sans CJK SC"/>
        <family val="2"/>
      </rPr>
      <t>구매전력 — 발전단</t>
    </r>
    <r>
      <rPr>
        <b/>
        <sz val="10"/>
        <rFont val="Arial"/>
        <family val="2"/>
      </rPr>
      <t xml:space="preserve">(LB, Location-Based) </t>
    </r>
    <r>
      <rPr>
        <b/>
        <sz val="10"/>
        <rFont val="Noto Sans CJK SC"/>
        <family val="2"/>
      </rPr>
      <t>기준</t>
    </r>
  </si>
  <si>
    <t>kWh</t>
  </si>
  <si>
    <r>
      <rPr>
        <sz val="10"/>
        <rFont val="Noto Sans CJK SC"/>
        <family val="2"/>
      </rPr>
      <t>구매전력 — 소비단</t>
    </r>
    <r>
      <rPr>
        <sz val="10"/>
        <rFont val="Arial"/>
        <family val="2"/>
      </rPr>
      <t xml:space="preserve">(MB </t>
    </r>
    <r>
      <rPr>
        <sz val="10"/>
        <rFont val="Noto Sans CJK SC"/>
        <family val="2"/>
      </rPr>
      <t>참고용</t>
    </r>
    <r>
      <rPr>
        <sz val="10"/>
        <rFont val="Arial"/>
        <family val="2"/>
      </rPr>
      <t>, Consumption-Based)</t>
    </r>
  </si>
  <si>
    <r>
      <rPr>
        <sz val="10"/>
        <rFont val="Noto Sans CJK SC"/>
        <family val="2"/>
      </rPr>
      <t>재생에너지 전력</t>
    </r>
    <r>
      <rPr>
        <sz val="10"/>
        <rFont val="Arial"/>
        <family val="2"/>
      </rPr>
      <t xml:space="preserve">(REC/PPA </t>
    </r>
    <r>
      <rPr>
        <sz val="10"/>
        <rFont val="Noto Sans CJK SC"/>
        <family val="2"/>
      </rPr>
      <t>등</t>
    </r>
    <r>
      <rPr>
        <sz val="10"/>
        <rFont val="Arial"/>
        <family val="2"/>
      </rPr>
      <t xml:space="preserve">, MB </t>
    </r>
    <r>
      <rPr>
        <sz val="10"/>
        <rFont val="Noto Sans CJK SC"/>
        <family val="2"/>
      </rPr>
      <t>차감분</t>
    </r>
    <r>
      <rPr>
        <sz val="10"/>
        <rFont val="Arial"/>
        <family val="2"/>
      </rPr>
      <t>)</t>
    </r>
  </si>
  <si>
    <r>
      <rPr>
        <b/>
        <sz val="10"/>
        <rFont val="Arial"/>
        <family val="2"/>
      </rPr>
      <t xml:space="preserve">Scope2 </t>
    </r>
    <r>
      <rPr>
        <b/>
        <sz val="10"/>
        <rFont val="Noto Sans CJK SC"/>
        <family val="2"/>
      </rPr>
      <t xml:space="preserve">최종 배출량 — </t>
    </r>
    <r>
      <rPr>
        <b/>
        <sz val="10"/>
        <rFont val="Arial"/>
        <family val="2"/>
      </rPr>
      <t xml:space="preserve">LB </t>
    </r>
    <r>
      <rPr>
        <b/>
        <sz val="10"/>
        <rFont val="Noto Sans CJK SC"/>
        <family val="2"/>
      </rPr>
      <t>기준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보고용 원칙</t>
    </r>
    <r>
      <rPr>
        <b/>
        <sz val="10"/>
        <rFont val="Arial"/>
        <family val="2"/>
      </rPr>
      <t>)</t>
    </r>
  </si>
  <si>
    <r>
      <rPr>
        <sz val="10"/>
        <rFont val="Arial"/>
        <family val="2"/>
      </rPr>
      <t xml:space="preserve">Scope2 </t>
    </r>
    <r>
      <rPr>
        <sz val="10"/>
        <rFont val="Noto Sans CJK SC"/>
        <family val="2"/>
      </rPr>
      <t xml:space="preserve">참고 배출량 — </t>
    </r>
    <r>
      <rPr>
        <sz val="10"/>
        <rFont val="Arial"/>
        <family val="2"/>
      </rPr>
      <t xml:space="preserve">MB </t>
    </r>
    <r>
      <rPr>
        <sz val="10"/>
        <rFont val="Noto Sans CJK SC"/>
        <family val="2"/>
      </rPr>
      <t>기준</t>
    </r>
    <r>
      <rPr>
        <sz val="10"/>
        <rFont val="Arial"/>
        <family val="2"/>
      </rPr>
      <t xml:space="preserve">(RE100 </t>
    </r>
    <r>
      <rPr>
        <sz val="10"/>
        <rFont val="Noto Sans CJK SC"/>
        <family val="2"/>
      </rPr>
      <t>등 대응용</t>
    </r>
    <r>
      <rPr>
        <sz val="10"/>
        <rFont val="Arial"/>
        <family val="2"/>
      </rPr>
      <t>)</t>
    </r>
  </si>
  <si>
    <r>
      <rPr>
        <i/>
        <sz val="9"/>
        <color rgb="FF666666"/>
        <rFont val="Noto Sans CJK SC"/>
        <family val="2"/>
      </rPr>
      <t>출처</t>
    </r>
    <r>
      <rPr>
        <i/>
        <sz val="9"/>
        <color rgb="FF666666"/>
        <rFont val="Arial"/>
        <family val="2"/>
      </rPr>
      <t xml:space="preserve">: </t>
    </r>
    <r>
      <rPr>
        <i/>
        <sz val="9"/>
        <color rgb="FF666666"/>
        <rFont val="Noto Sans CJK SC"/>
        <family val="2"/>
      </rPr>
      <t>전력배출계수</t>
    </r>
    <r>
      <rPr>
        <i/>
        <sz val="9"/>
        <color rgb="FF666666"/>
        <rFont val="Arial"/>
        <family val="2"/>
      </rPr>
      <t>(</t>
    </r>
    <r>
      <rPr>
        <i/>
        <sz val="9"/>
        <color rgb="FF666666"/>
        <rFont val="Noto Sans CJK SC"/>
        <family val="2"/>
      </rPr>
      <t xml:space="preserve">발전단 </t>
    </r>
    <r>
      <rPr>
        <i/>
        <sz val="9"/>
        <color rgb="FF666666"/>
        <rFont val="Arial"/>
        <family val="2"/>
      </rPr>
      <t xml:space="preserve">0.3844 / </t>
    </r>
    <r>
      <rPr>
        <i/>
        <sz val="9"/>
        <color rgb="FF666666"/>
        <rFont val="Noto Sans CJK SC"/>
        <family val="2"/>
      </rPr>
      <t xml:space="preserve">소비단 </t>
    </r>
    <r>
      <rPr>
        <i/>
        <sz val="9"/>
        <color rgb="FF666666"/>
        <rFont val="Arial"/>
        <family val="2"/>
      </rPr>
      <t>0.4173 tCO2eq/MWh)</t>
    </r>
    <r>
      <rPr>
        <i/>
        <sz val="9"/>
        <color rgb="FF666666"/>
        <rFont val="Noto Sans CJK SC"/>
        <family val="2"/>
      </rPr>
      <t xml:space="preserve">는 기후에너지환경부 </t>
    </r>
    <r>
      <rPr>
        <i/>
        <sz val="9"/>
        <color rgb="FF666666"/>
        <rFont val="Arial"/>
        <family val="2"/>
      </rPr>
      <t>2025</t>
    </r>
    <r>
      <rPr>
        <i/>
        <sz val="9"/>
        <color rgb="FF666666"/>
        <rFont val="Noto Sans CJK SC"/>
        <family val="2"/>
      </rPr>
      <t xml:space="preserve">년 </t>
    </r>
    <r>
      <rPr>
        <i/>
        <sz val="9"/>
        <color rgb="FF666666"/>
        <rFont val="Arial"/>
        <family val="2"/>
      </rPr>
      <t>12</t>
    </r>
    <r>
      <rPr>
        <i/>
        <sz val="9"/>
        <color rgb="FF666666"/>
        <rFont val="Noto Sans CJK SC"/>
        <family val="2"/>
      </rPr>
      <t xml:space="preserve">월 공표 </t>
    </r>
    <r>
      <rPr>
        <i/>
        <sz val="9"/>
        <color rgb="FF666666"/>
        <rFont val="Arial"/>
        <family val="2"/>
      </rPr>
      <t>2023</t>
    </r>
    <r>
      <rPr>
        <i/>
        <sz val="9"/>
        <color rgb="FF666666"/>
        <rFont val="Noto Sans CJK SC"/>
        <family val="2"/>
      </rPr>
      <t>년 확정치입니다</t>
    </r>
    <r>
      <rPr>
        <i/>
        <sz val="9"/>
        <color rgb="FF666666"/>
        <rFont val="Arial"/>
        <family val="2"/>
      </rPr>
      <t xml:space="preserve">. </t>
    </r>
    <r>
      <rPr>
        <i/>
        <sz val="9"/>
        <color rgb="FF666666"/>
        <rFont val="Noto Sans CJK SC"/>
        <family val="2"/>
      </rPr>
      <t xml:space="preserve">매년 갱신되므로 사용 시점마다 </t>
    </r>
    <r>
      <rPr>
        <i/>
        <sz val="9"/>
        <color rgb="FF666666"/>
        <rFont val="Arial"/>
        <family val="2"/>
      </rPr>
      <t>gir.go.kr</t>
    </r>
    <r>
      <rPr>
        <i/>
        <sz val="9"/>
        <color rgb="FF666666"/>
        <rFont val="Noto Sans CJK SC"/>
        <family val="2"/>
      </rPr>
      <t>에서 최신값을 재확인하세요</t>
    </r>
    <r>
      <rPr>
        <i/>
        <sz val="9"/>
        <color rgb="FF666666"/>
        <rFont val="Arial"/>
        <family val="2"/>
      </rPr>
      <t>.</t>
    </r>
  </si>
  <si>
    <r>
      <rPr>
        <b/>
        <sz val="14"/>
        <color rgb="FF1F3864"/>
        <rFont val="Arial"/>
        <family val="2"/>
      </rPr>
      <t xml:space="preserve">Scope 1+2 </t>
    </r>
    <r>
      <rPr>
        <b/>
        <sz val="14"/>
        <color rgb="FF1F3864"/>
        <rFont val="Noto Sans CJK SC"/>
        <family val="2"/>
      </rPr>
      <t>종합 요약</t>
    </r>
  </si>
  <si>
    <r>
      <rPr>
        <i/>
        <sz val="9"/>
        <color rgb="FF666666"/>
        <rFont val="Noto Sans CJK SC"/>
        <family val="2"/>
      </rPr>
      <t>아래 표는 각 시트의 합계를 자동으로 불러옵니다</t>
    </r>
    <r>
      <rPr>
        <i/>
        <sz val="9"/>
        <color rgb="FF666666"/>
        <rFont val="Arial"/>
        <family val="2"/>
      </rPr>
      <t>(</t>
    </r>
    <r>
      <rPr>
        <i/>
        <sz val="9"/>
        <color rgb="FF666666"/>
        <rFont val="Noto Sans CJK SC"/>
        <family val="2"/>
      </rPr>
      <t>직접 입력 금지 — 전부 링크 수식</t>
    </r>
    <r>
      <rPr>
        <i/>
        <sz val="9"/>
        <color rgb="FF666666"/>
        <rFont val="Arial"/>
        <family val="2"/>
      </rPr>
      <t>).</t>
    </r>
  </si>
  <si>
    <t>구분</t>
  </si>
  <si>
    <t>배출원</t>
  </si>
  <si>
    <t>비고</t>
  </si>
  <si>
    <t>Scope 1</t>
  </si>
  <si>
    <t>고정연소</t>
  </si>
  <si>
    <t>보일러 등</t>
  </si>
  <si>
    <t>이동연소</t>
  </si>
  <si>
    <t>사업장 차량</t>
  </si>
  <si>
    <t>Scope 2</t>
  </si>
  <si>
    <r>
      <rPr>
        <sz val="10"/>
        <rFont val="Noto Sans CJK SC"/>
        <family val="2"/>
      </rPr>
      <t>전력</t>
    </r>
    <r>
      <rPr>
        <sz val="10"/>
        <rFont val="Arial"/>
        <family val="2"/>
      </rPr>
      <t xml:space="preserve">(LB </t>
    </r>
    <r>
      <rPr>
        <sz val="10"/>
        <rFont val="Noto Sans CJK SC"/>
        <family val="2"/>
      </rPr>
      <t>기준</t>
    </r>
    <r>
      <rPr>
        <sz val="10"/>
        <rFont val="Arial"/>
        <family val="2"/>
      </rPr>
      <t>)</t>
    </r>
  </si>
  <si>
    <t>보고용 원칙</t>
  </si>
  <si>
    <r>
      <rPr>
        <sz val="10"/>
        <rFont val="Arial"/>
        <family val="2"/>
      </rPr>
      <t xml:space="preserve">Scope2 </t>
    </r>
    <r>
      <rPr>
        <sz val="10"/>
        <rFont val="Noto Sans CJK SC"/>
        <family val="2"/>
      </rPr>
      <t xml:space="preserve">참고 — </t>
    </r>
    <r>
      <rPr>
        <sz val="10"/>
        <rFont val="Arial"/>
        <family val="2"/>
      </rPr>
      <t xml:space="preserve">MB </t>
    </r>
    <r>
      <rPr>
        <sz val="10"/>
        <rFont val="Noto Sans CJK SC"/>
        <family val="2"/>
      </rPr>
      <t>기준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참고용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합계 미포함</t>
    </r>
    <r>
      <rPr>
        <sz val="10"/>
        <rFont val="Arial"/>
        <family val="2"/>
      </rPr>
      <t>)</t>
    </r>
  </si>
  <si>
    <r>
      <rPr>
        <b/>
        <sz val="10"/>
        <rFont val="Arial"/>
        <family val="2"/>
      </rPr>
      <t xml:space="preserve">Scope1 </t>
    </r>
    <r>
      <rPr>
        <b/>
        <sz val="10"/>
        <rFont val="Noto Sans CJK SC"/>
        <family val="2"/>
      </rPr>
      <t xml:space="preserve">참고 — </t>
    </r>
    <r>
      <rPr>
        <b/>
        <sz val="10"/>
        <rFont val="Arial"/>
        <family val="2"/>
      </rPr>
      <t xml:space="preserve">AR6(CBAM·ISSB </t>
    </r>
    <r>
      <rPr>
        <b/>
        <sz val="10"/>
        <rFont val="Noto Sans CJK SC"/>
        <family val="2"/>
      </rPr>
      <t>등 국제보고용</t>
    </r>
    <r>
      <rPr>
        <b/>
        <sz val="10"/>
        <rFont val="Arial"/>
        <family val="2"/>
      </rPr>
      <t xml:space="preserve">) </t>
    </r>
    <r>
      <rPr>
        <b/>
        <sz val="10"/>
        <rFont val="Noto Sans CJK SC"/>
        <family val="2"/>
      </rPr>
      <t>기준</t>
    </r>
  </si>
  <si>
    <r>
      <rPr>
        <sz val="10"/>
        <rFont val="Noto Sans CJK SC"/>
        <family val="2"/>
      </rPr>
      <t>고정연소</t>
    </r>
    <r>
      <rPr>
        <sz val="10"/>
        <rFont val="Arial"/>
        <family val="2"/>
      </rPr>
      <t>(AR6)</t>
    </r>
  </si>
  <si>
    <r>
      <rPr>
        <sz val="10"/>
        <rFont val="Noto Sans CJK SC"/>
        <family val="2"/>
      </rPr>
      <t>이동연소</t>
    </r>
    <r>
      <rPr>
        <sz val="10"/>
        <rFont val="Arial"/>
        <family val="2"/>
      </rPr>
      <t>(AR6)</t>
    </r>
  </si>
  <si>
    <r>
      <rPr>
        <i/>
        <sz val="9"/>
        <color rgb="FF666666"/>
        <rFont val="Arial"/>
        <family val="2"/>
      </rPr>
      <t xml:space="preserve">AR5 </t>
    </r>
    <r>
      <rPr>
        <i/>
        <sz val="9"/>
        <color rgb="FF666666"/>
        <rFont val="Noto Sans CJK SC"/>
        <family val="2"/>
      </rPr>
      <t xml:space="preserve">대비 </t>
    </r>
    <r>
      <rPr>
        <i/>
        <sz val="9"/>
        <color rgb="FF666666"/>
        <rFont val="Arial"/>
        <family val="2"/>
      </rPr>
      <t xml:space="preserve">AR6 </t>
    </r>
    <r>
      <rPr>
        <i/>
        <sz val="9"/>
        <color rgb="FF666666"/>
        <rFont val="Noto Sans CJK SC"/>
        <family val="2"/>
      </rPr>
      <t>차이</t>
    </r>
    <r>
      <rPr>
        <i/>
        <sz val="9"/>
        <color rgb="FF666666"/>
        <rFont val="Arial"/>
        <family val="2"/>
      </rPr>
      <t>(</t>
    </r>
    <r>
      <rPr>
        <i/>
        <sz val="9"/>
        <color rgb="FF666666"/>
        <rFont val="Noto Sans CJK SC"/>
        <family val="2"/>
      </rPr>
      <t>참고</t>
    </r>
    <r>
      <rPr>
        <i/>
        <sz val="9"/>
        <color rgb="FF666666"/>
        <rFont val="Arial"/>
        <family val="2"/>
      </rPr>
      <t>)</t>
    </r>
  </si>
  <si>
    <r>
      <rPr>
        <b/>
        <sz val="14"/>
        <color rgb="FF1F3864"/>
        <rFont val="Noto Sans CJK SC"/>
        <family val="2"/>
      </rPr>
      <t xml:space="preserve">근거 조항 요약 </t>
    </r>
    <r>
      <rPr>
        <b/>
        <sz val="14"/>
        <color rgb="FF1F3864"/>
        <rFont val="Arial"/>
        <family val="2"/>
      </rPr>
      <t>(</t>
    </r>
    <r>
      <rPr>
        <b/>
        <sz val="14"/>
        <color rgb="FF1F3864"/>
        <rFont val="Noto Sans CJK SC"/>
        <family val="2"/>
      </rPr>
      <t>감사</t>
    </r>
    <r>
      <rPr>
        <b/>
        <sz val="14"/>
        <color rgb="FF1F3864"/>
        <rFont val="Arial"/>
        <family val="2"/>
      </rPr>
      <t>·</t>
    </r>
    <r>
      <rPr>
        <b/>
        <sz val="14"/>
        <color rgb="FF1F3864"/>
        <rFont val="Noto Sans CJK SC"/>
        <family val="2"/>
      </rPr>
      <t>검증 대응용</t>
    </r>
    <r>
      <rPr>
        <b/>
        <sz val="14"/>
        <color rgb="FF1F3864"/>
        <rFont val="Arial"/>
        <family val="2"/>
      </rPr>
      <t>)</t>
    </r>
  </si>
  <si>
    <r>
      <rPr>
        <i/>
        <sz val="9"/>
        <color rgb="FF666666"/>
        <rFont val="Noto Sans CJK SC"/>
        <family val="2"/>
      </rPr>
      <t>출처</t>
    </r>
    <r>
      <rPr>
        <i/>
        <sz val="9"/>
        <color rgb="FF666666"/>
        <rFont val="Arial"/>
        <family val="2"/>
      </rPr>
      <t xml:space="preserve">: </t>
    </r>
    <r>
      <rPr>
        <i/>
        <sz val="9"/>
        <color rgb="FF666666"/>
        <rFont val="Noto Sans CJK SC"/>
        <family val="2"/>
      </rPr>
      <t>「온실가스 배출권거래제의 배출량 보고 및 인증에 관한 지침」</t>
    </r>
    <r>
      <rPr>
        <i/>
        <sz val="9"/>
        <color rgb="FF666666"/>
        <rFont val="Arial"/>
        <family val="2"/>
      </rPr>
      <t>(</t>
    </r>
    <r>
      <rPr>
        <i/>
        <sz val="9"/>
        <color rgb="FF666666"/>
        <rFont val="Noto Sans CJK SC"/>
        <family val="2"/>
      </rPr>
      <t>환경부고시 제</t>
    </r>
    <r>
      <rPr>
        <i/>
        <sz val="9"/>
        <color rgb="FF666666"/>
        <rFont val="Arial"/>
        <family val="2"/>
      </rPr>
      <t>2022-279</t>
    </r>
    <r>
      <rPr>
        <i/>
        <sz val="9"/>
        <color rgb="FF666666"/>
        <rFont val="Noto Sans CJK SC"/>
        <family val="2"/>
      </rPr>
      <t>호</t>
    </r>
    <r>
      <rPr>
        <i/>
        <sz val="9"/>
        <color rgb="FF666666"/>
        <rFont val="Arial"/>
        <family val="2"/>
      </rPr>
      <t>)</t>
    </r>
  </si>
  <si>
    <t>조항</t>
  </si>
  <si>
    <t>핵심 내용</t>
  </si>
  <si>
    <t>본 템플릿 반영 방식</t>
  </si>
  <si>
    <r>
      <rPr>
        <b/>
        <sz val="10"/>
        <rFont val="Noto Sans CJK SC"/>
        <family val="2"/>
      </rPr>
      <t>제</t>
    </r>
    <r>
      <rPr>
        <b/>
        <sz val="10"/>
        <rFont val="Arial"/>
        <family val="2"/>
      </rPr>
      <t>9</t>
    </r>
    <r>
      <rPr>
        <b/>
        <sz val="10"/>
        <rFont val="Noto Sans CJK SC"/>
        <family val="2"/>
      </rPr>
      <t>조③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산정범위</t>
    </r>
    <r>
      <rPr>
        <b/>
        <sz val="10"/>
        <rFont val="Arial"/>
        <family val="2"/>
      </rPr>
      <t>)</t>
    </r>
  </si>
  <si>
    <r>
      <rPr>
        <sz val="10"/>
        <rFont val="Noto Sans CJK SC"/>
        <family val="2"/>
      </rPr>
      <t>법인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사업장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배출시설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배출활동별로 배출량을 산정해야 한다</t>
    </r>
  </si>
  <si>
    <r>
      <rPr>
        <sz val="9"/>
        <rFont val="Noto Sans CJK SC"/>
        <family val="2"/>
      </rPr>
      <t>③④시트를 연료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시설 단위 행으로 구성</t>
    </r>
  </si>
  <si>
    <r>
      <rPr>
        <b/>
        <sz val="10"/>
        <rFont val="Noto Sans CJK SC"/>
        <family val="2"/>
      </rPr>
      <t>제</t>
    </r>
    <r>
      <rPr>
        <b/>
        <sz val="10"/>
        <rFont val="Arial"/>
        <family val="2"/>
      </rPr>
      <t>11</t>
    </r>
    <r>
      <rPr>
        <b/>
        <sz val="10"/>
        <rFont val="Noto Sans CJK SC"/>
        <family val="2"/>
      </rPr>
      <t>조①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적용기준</t>
    </r>
    <r>
      <rPr>
        <b/>
        <sz val="10"/>
        <rFont val="Arial"/>
        <family val="2"/>
      </rPr>
      <t>)</t>
    </r>
  </si>
  <si>
    <r>
      <rPr>
        <sz val="10"/>
        <rFont val="Noto Sans CJK SC"/>
        <family val="2"/>
      </rPr>
      <t>배출시설 규모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별표</t>
    </r>
    <r>
      <rPr>
        <sz val="10"/>
        <rFont val="Arial"/>
        <family val="2"/>
      </rPr>
      <t>5)</t>
    </r>
    <r>
      <rPr>
        <sz val="10"/>
        <rFont val="Noto Sans CJK SC"/>
        <family val="2"/>
      </rPr>
      <t>에 따라 최소산정등급</t>
    </r>
    <r>
      <rPr>
        <sz val="10"/>
        <rFont val="Arial"/>
        <family val="2"/>
      </rPr>
      <t>(Tier)</t>
    </r>
    <r>
      <rPr>
        <sz val="10"/>
        <rFont val="Noto Sans CJK SC"/>
        <family val="2"/>
      </rPr>
      <t>을 준수해야 한다</t>
    </r>
  </si>
  <si>
    <t>⑦시트 하단에 그룹 판정 체크리스트 제공</t>
  </si>
  <si>
    <r>
      <rPr>
        <b/>
        <sz val="10"/>
        <rFont val="Noto Sans CJK SC"/>
        <family val="2"/>
      </rPr>
      <t>제</t>
    </r>
    <r>
      <rPr>
        <b/>
        <sz val="10"/>
        <rFont val="Arial"/>
        <family val="2"/>
      </rPr>
      <t>14</t>
    </r>
    <r>
      <rPr>
        <b/>
        <sz val="10"/>
        <rFont val="Noto Sans CJK SC"/>
        <family val="2"/>
      </rPr>
      <t>조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적용특례</t>
    </r>
    <r>
      <rPr>
        <b/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</si>
  <si>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중소기업은 최초 지정 후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회 이내 최소등급 미준수 유예 가능</t>
    </r>
  </si>
  <si>
    <t>해당 시 사유를 진단보고서에 별도 기재 권장</t>
  </si>
  <si>
    <r>
      <rPr>
        <b/>
        <sz val="10"/>
        <rFont val="Noto Sans CJK SC"/>
        <family val="2"/>
      </rPr>
      <t>제</t>
    </r>
    <r>
      <rPr>
        <b/>
        <sz val="10"/>
        <rFont val="Arial"/>
        <family val="2"/>
      </rPr>
      <t>15</t>
    </r>
    <r>
      <rPr>
        <b/>
        <sz val="10"/>
        <rFont val="Noto Sans CJK SC"/>
        <family val="2"/>
      </rPr>
      <t>조①②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계수활용</t>
    </r>
    <r>
      <rPr>
        <b/>
        <sz val="10"/>
        <rFont val="Arial"/>
        <family val="2"/>
      </rPr>
      <t>)</t>
    </r>
  </si>
  <si>
    <r>
      <rPr>
        <sz val="10"/>
        <rFont val="Arial"/>
        <family val="2"/>
      </rPr>
      <t>Tier1</t>
    </r>
    <r>
      <rPr>
        <sz val="10"/>
        <rFont val="Noto Sans CJK SC"/>
        <family val="2"/>
      </rPr>
      <t>은 별표</t>
    </r>
    <r>
      <rPr>
        <sz val="10"/>
        <rFont val="Arial"/>
        <family val="2"/>
      </rPr>
      <t>10+11, Tier2</t>
    </r>
    <r>
      <rPr>
        <sz val="10"/>
        <rFont val="Noto Sans CJK SC"/>
        <family val="2"/>
      </rPr>
      <t>는 국가고유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별표</t>
    </r>
    <r>
      <rPr>
        <sz val="10"/>
        <rFont val="Arial"/>
        <family val="2"/>
      </rPr>
      <t>12)</t>
    </r>
    <r>
      <rPr>
        <sz val="10"/>
        <rFont val="Noto Sans CJK SC"/>
        <family val="2"/>
      </rPr>
      <t>를 세트로 사용</t>
    </r>
  </si>
  <si>
    <r>
      <rPr>
        <sz val="9"/>
        <rFont val="Noto Sans CJK SC"/>
        <family val="2"/>
      </rPr>
      <t xml:space="preserve">②참조표를 </t>
    </r>
    <r>
      <rPr>
        <sz val="9"/>
        <rFont val="Arial"/>
        <family val="2"/>
      </rPr>
      <t>Tier2(</t>
    </r>
    <r>
      <rPr>
        <sz val="9"/>
        <rFont val="Noto Sans CJK SC"/>
        <family val="2"/>
      </rPr>
      <t>별표</t>
    </r>
    <r>
      <rPr>
        <sz val="9"/>
        <rFont val="Arial"/>
        <family val="2"/>
      </rPr>
      <t xml:space="preserve">12) </t>
    </r>
    <r>
      <rPr>
        <sz val="9"/>
        <rFont val="Noto Sans CJK SC"/>
        <family val="2"/>
      </rPr>
      <t>세트로 통일 구성</t>
    </r>
  </si>
  <si>
    <r>
      <rPr>
        <b/>
        <sz val="10"/>
        <rFont val="Noto Sans CJK SC"/>
        <family val="2"/>
      </rPr>
      <t>제</t>
    </r>
    <r>
      <rPr>
        <b/>
        <sz val="10"/>
        <rFont val="Arial"/>
        <family val="2"/>
      </rPr>
      <t>22</t>
    </r>
    <r>
      <rPr>
        <b/>
        <sz val="10"/>
        <rFont val="Noto Sans CJK SC"/>
        <family val="2"/>
      </rPr>
      <t>조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적용특례</t>
    </r>
    <r>
      <rPr>
        <b/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</si>
  <si>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국가고유 계수가 미고시된 경우에 한해 예외적으로 </t>
    </r>
    <r>
      <rPr>
        <sz val="10"/>
        <rFont val="Arial"/>
        <family val="2"/>
      </rPr>
      <t xml:space="preserve">Tier1 </t>
    </r>
    <r>
      <rPr>
        <sz val="10"/>
        <rFont val="Noto Sans CJK SC"/>
        <family val="2"/>
      </rPr>
      <t>허용</t>
    </r>
  </si>
  <si>
    <r>
      <rPr>
        <sz val="9"/>
        <rFont val="Noto Sans CJK SC"/>
        <family val="2"/>
      </rPr>
      <t>②참조표에 없는 연료는 별표</t>
    </r>
    <r>
      <rPr>
        <sz val="9"/>
        <rFont val="Arial"/>
        <family val="2"/>
      </rPr>
      <t xml:space="preserve">10 </t>
    </r>
    <r>
      <rPr>
        <sz val="9"/>
        <rFont val="Noto Sans CJK SC"/>
        <family val="2"/>
      </rPr>
      <t>값을 사유와 함께 추가</t>
    </r>
  </si>
  <si>
    <r>
      <rPr>
        <b/>
        <sz val="10"/>
        <rFont val="Noto Sans CJK SC"/>
        <family val="2"/>
      </rPr>
      <t>제</t>
    </r>
    <r>
      <rPr>
        <b/>
        <sz val="10"/>
        <rFont val="Arial"/>
        <family val="2"/>
      </rPr>
      <t>24</t>
    </r>
    <r>
      <rPr>
        <b/>
        <sz val="10"/>
        <rFont val="Noto Sans CJK SC"/>
        <family val="2"/>
      </rPr>
      <t>조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산정계획</t>
    </r>
    <r>
      <rPr>
        <b/>
        <sz val="10"/>
        <rFont val="Arial"/>
        <family val="2"/>
      </rPr>
      <t>)</t>
    </r>
  </si>
  <si>
    <r>
      <rPr>
        <sz val="10"/>
        <rFont val="Noto Sans CJK SC"/>
        <family val="2"/>
      </rPr>
      <t>매개변수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활동자료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배출계수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발열량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산화율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를 각각 관리해야 한다</t>
    </r>
  </si>
  <si>
    <r>
      <rPr>
        <sz val="9"/>
        <rFont val="Noto Sans CJK SC"/>
        <family val="2"/>
      </rPr>
      <t xml:space="preserve">③④시트에서 </t>
    </r>
    <r>
      <rPr>
        <sz val="9"/>
        <rFont val="Arial"/>
        <family val="2"/>
      </rPr>
      <t>5</t>
    </r>
    <r>
      <rPr>
        <sz val="9"/>
        <rFont val="Noto Sans CJK SC"/>
        <family val="2"/>
      </rPr>
      <t>단계를 모두 별도 열로 분리 표시</t>
    </r>
  </si>
  <si>
    <r>
      <rPr>
        <b/>
        <sz val="11"/>
        <color rgb="FF0E7C7B"/>
        <rFont val="Arial"/>
        <family val="2"/>
      </rPr>
      <t xml:space="preserve">■ Tier </t>
    </r>
    <r>
      <rPr>
        <b/>
        <sz val="11"/>
        <color rgb="FF0E7C7B"/>
        <rFont val="Noto Sans CJK SC"/>
        <family val="2"/>
      </rPr>
      <t>그룹</t>
    </r>
    <r>
      <rPr>
        <b/>
        <sz val="11"/>
        <color rgb="FF0E7C7B"/>
        <rFont val="Arial"/>
        <family val="2"/>
      </rPr>
      <t xml:space="preserve">(A/B/C) </t>
    </r>
    <r>
      <rPr>
        <b/>
        <sz val="11"/>
        <color rgb="FF0E7C7B"/>
        <rFont val="Noto Sans CJK SC"/>
        <family val="2"/>
      </rPr>
      <t>판정 체크리스트 — 시설별로 작성</t>
    </r>
  </si>
  <si>
    <t>배출시설명</t>
  </si>
  <si>
    <r>
      <rPr>
        <b/>
        <sz val="10"/>
        <color rgb="FFFFFFFF"/>
        <rFont val="Noto Sans CJK SC"/>
        <family val="2"/>
      </rPr>
      <t>기준기간 평균 배출량</t>
    </r>
    <r>
      <rPr>
        <b/>
        <sz val="10"/>
        <color rgb="FFFFFFFF"/>
        <rFont val="Arial"/>
        <family val="2"/>
      </rPr>
      <t>(tCO2eq)</t>
    </r>
  </si>
  <si>
    <r>
      <rPr>
        <b/>
        <sz val="10"/>
        <color rgb="FFFFFFFF"/>
        <rFont val="Noto Sans CJK SC"/>
        <family val="2"/>
      </rPr>
      <t>그룹</t>
    </r>
    <r>
      <rPr>
        <b/>
        <sz val="10"/>
        <color rgb="FFFFFFFF"/>
        <rFont val="Arial"/>
        <family val="2"/>
      </rPr>
      <t>(A/B/C)</t>
    </r>
  </si>
  <si>
    <r>
      <rPr>
        <b/>
        <sz val="10"/>
        <color rgb="FFFFFFFF"/>
        <rFont val="Noto Sans CJK SC"/>
        <family val="2"/>
      </rPr>
      <t xml:space="preserve">최소 </t>
    </r>
    <r>
      <rPr>
        <b/>
        <sz val="10"/>
        <color rgb="FFFFFFFF"/>
        <rFont val="Arial"/>
        <family val="2"/>
      </rPr>
      <t>Tier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</si>
</sst>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"/>
    <numFmt numFmtId="177" formatCode="#,##0.0"/>
    <numFmt numFmtId="178" formatCode="0.000"/>
    <numFmt numFmtId="179" formatCode="\+0.000;\-0.000"/>
  </numFmts>
  <fonts count="30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3864"/>
      <name val="Noto Sans CJK SC"/>
      <family val="2"/>
    </font>
    <font>
      <b/>
      <sz val="14"/>
      <color rgb="FF1F3864"/>
      <name val="Arial"/>
      <family val="2"/>
    </font>
    <font>
      <b/>
      <sz val="11"/>
      <color rgb="FF0E7C7B"/>
      <name val="Noto Sans CJK SC"/>
      <family val="2"/>
    </font>
    <font>
      <b/>
      <sz val="11"/>
      <color rgb="FF0E7C7B"/>
      <name val="Arial"/>
      <family val="2"/>
    </font>
    <font>
      <sz val="10"/>
      <name val="Noto Sans CJK SC"/>
      <family val="2"/>
    </font>
    <font>
      <sz val="10"/>
      <name val="Arial"/>
      <family val="2"/>
    </font>
    <font>
      <b/>
      <sz val="10"/>
      <color rgb="FFFFFFFF"/>
      <name val="Noto Sans CJK SC"/>
      <family val="2"/>
    </font>
    <font>
      <b/>
      <sz val="10"/>
      <name val="Noto Sans CJK SC"/>
      <family val="2"/>
    </font>
    <font>
      <b/>
      <sz val="10"/>
      <name val="Arial"/>
      <family val="2"/>
    </font>
    <font>
      <i/>
      <sz val="9"/>
      <color rgb="FF666666"/>
      <name val="Noto Sans CJK SC"/>
      <family val="2"/>
    </font>
    <font>
      <i/>
      <sz val="9"/>
      <color rgb="FF666666"/>
      <name val="Arial"/>
      <family val="2"/>
    </font>
    <font>
      <b/>
      <i/>
      <sz val="9"/>
      <color rgb="FFC00000"/>
      <name val="Noto Sans CJK SC"/>
      <family val="2"/>
    </font>
    <font>
      <b/>
      <i/>
      <sz val="9"/>
      <color rgb="FFC00000"/>
      <name val="Arial"/>
      <family val="2"/>
    </font>
    <font>
      <b/>
      <sz val="10"/>
      <color rgb="FFFFFFFF"/>
      <name val="Arial"/>
      <family val="2"/>
    </font>
    <font>
      <b/>
      <sz val="9"/>
      <color rgb="FFC00000"/>
      <name val="Arial"/>
      <family val="2"/>
    </font>
    <font>
      <b/>
      <sz val="9"/>
      <color rgb="FFC00000"/>
      <name val="Noto Sans CJK SC"/>
      <family val="2"/>
    </font>
    <font>
      <b/>
      <sz val="10"/>
      <color rgb="FF0E7C7B"/>
      <name val="Noto Sans CJK SC"/>
      <family val="2"/>
    </font>
    <font>
      <b/>
      <sz val="10"/>
      <color rgb="FF0E7C7B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Noto Sans CJK SC"/>
      <family val="2"/>
    </font>
    <font>
      <sz val="11"/>
      <color theme="1"/>
      <name val="Noto Sans CJK SC"/>
      <family val="2"/>
    </font>
    <font>
      <b/>
      <sz val="10"/>
      <color rgb="FF1F3864"/>
      <name val="Arial"/>
      <family val="2"/>
    </font>
    <font>
      <sz val="9"/>
      <name val="Arial"/>
      <family val="2"/>
    </font>
    <font>
      <sz val="11"/>
      <color rgb="FF008000"/>
      <name val="Arial"/>
      <family val="2"/>
    </font>
    <font>
      <b/>
      <sz val="11"/>
      <name val="Noto Sans CJK SC"/>
      <family val="2"/>
    </font>
    <font>
      <b/>
      <sz val="11"/>
      <name val="Arial"/>
      <family val="2"/>
    </font>
    <font>
      <sz val="9"/>
      <name val="Noto Sans CJK SC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8" fillId="2" borderId="0" xfId="0" applyFont="1" applyFill="1"/>
    <xf numFmtId="0" fontId="9" fillId="0" borderId="0" xfId="0" applyFont="1"/>
    <xf numFmtId="0" fontId="10" fillId="0" borderId="0" xfId="0" applyFont="1"/>
    <xf numFmtId="0" fontId="7" fillId="0" borderId="0" xfId="0" applyFont="1"/>
    <xf numFmtId="0" fontId="9" fillId="3" borderId="0" xfId="0" applyFont="1" applyFill="1"/>
    <xf numFmtId="0" fontId="9" fillId="4" borderId="0" xfId="0" applyFont="1" applyFill="1"/>
    <xf numFmtId="0" fontId="11" fillId="0" borderId="0" xfId="0" applyFont="1"/>
    <xf numFmtId="0" fontId="13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3" fillId="0" borderId="0" xfId="0" applyFont="1"/>
    <xf numFmtId="0" fontId="18" fillId="0" borderId="0" xfId="0" applyFont="1"/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3" borderId="1" xfId="0" applyFont="1" applyFill="1" applyBorder="1"/>
    <xf numFmtId="0" fontId="0" fillId="4" borderId="1" xfId="0" applyFill="1" applyBorder="1"/>
    <xf numFmtId="3" fontId="0" fillId="3" borderId="1" xfId="0" applyNumberFormat="1" applyFill="1" applyBorder="1"/>
    <xf numFmtId="176" fontId="0" fillId="0" borderId="1" xfId="0" applyNumberFormat="1" applyBorder="1"/>
    <xf numFmtId="177" fontId="0" fillId="0" borderId="1" xfId="0" applyNumberFormat="1" applyBorder="1"/>
    <xf numFmtId="178" fontId="0" fillId="0" borderId="1" xfId="0" applyNumberFormat="1" applyBorder="1"/>
    <xf numFmtId="178" fontId="10" fillId="0" borderId="1" xfId="0" applyNumberFormat="1" applyFont="1" applyBorder="1"/>
    <xf numFmtId="178" fontId="23" fillId="0" borderId="1" xfId="0" applyNumberFormat="1" applyFont="1" applyBorder="1"/>
    <xf numFmtId="0" fontId="24" fillId="0" borderId="1" xfId="0" applyFont="1" applyBorder="1" applyAlignment="1">
      <alignment vertical="center" wrapText="1"/>
    </xf>
    <xf numFmtId="0" fontId="0" fillId="3" borderId="1" xfId="0" applyFill="1" applyBorder="1"/>
    <xf numFmtId="177" fontId="10" fillId="5" borderId="1" xfId="0" applyNumberFormat="1" applyFont="1" applyFill="1" applyBorder="1"/>
    <xf numFmtId="178" fontId="10" fillId="5" borderId="1" xfId="0" applyNumberFormat="1" applyFont="1" applyFill="1" applyBorder="1"/>
    <xf numFmtId="0" fontId="17" fillId="0" borderId="0" xfId="0" applyFont="1"/>
    <xf numFmtId="0" fontId="19" fillId="0" borderId="0" xfId="0" applyFont="1"/>
    <xf numFmtId="0" fontId="9" fillId="0" borderId="1" xfId="0" applyFont="1" applyBorder="1"/>
    <xf numFmtId="2" fontId="0" fillId="0" borderId="1" xfId="0" applyNumberFormat="1" applyBorder="1"/>
    <xf numFmtId="0" fontId="6" fillId="0" borderId="1" xfId="0" applyFont="1" applyBorder="1"/>
    <xf numFmtId="3" fontId="25" fillId="0" borderId="1" xfId="0" applyNumberFormat="1" applyFont="1" applyBorder="1"/>
    <xf numFmtId="0" fontId="10" fillId="0" borderId="1" xfId="0" applyFont="1" applyBorder="1"/>
    <xf numFmtId="0" fontId="0" fillId="0" borderId="1" xfId="0" applyBorder="1"/>
    <xf numFmtId="2" fontId="10" fillId="5" borderId="1" xfId="0" applyNumberFormat="1" applyFont="1" applyFill="1" applyBorder="1"/>
    <xf numFmtId="0" fontId="7" fillId="0" borderId="1" xfId="0" applyFont="1" applyBorder="1"/>
    <xf numFmtId="178" fontId="25" fillId="0" borderId="1" xfId="0" applyNumberFormat="1" applyFont="1" applyBorder="1"/>
    <xf numFmtId="0" fontId="11" fillId="0" borderId="1" xfId="0" applyFont="1" applyBorder="1"/>
    <xf numFmtId="0" fontId="26" fillId="0" borderId="1" xfId="0" applyFont="1" applyBorder="1"/>
    <xf numFmtId="178" fontId="27" fillId="5" borderId="1" xfId="0" applyNumberFormat="1" applyFont="1" applyFill="1" applyBorder="1"/>
    <xf numFmtId="178" fontId="25" fillId="0" borderId="0" xfId="0" applyNumberFormat="1" applyFont="1"/>
    <xf numFmtId="0" fontId="12" fillId="0" borderId="0" xfId="0" applyFont="1"/>
    <xf numFmtId="179" fontId="12" fillId="0" borderId="0" xfId="0" applyNumberFormat="1" applyFont="1"/>
    <xf numFmtId="0" fontId="6" fillId="0" borderId="1" xfId="0" applyFont="1" applyBorder="1" applyAlignment="1">
      <alignment wrapText="1"/>
    </xf>
    <xf numFmtId="0" fontId="28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5" fillId="0" borderId="0" xfId="0" applyFont="1"/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38"/>
  <sheetViews>
    <sheetView zoomScaleNormal="100" workbookViewId="0"/>
  </sheetViews>
  <sheetFormatPr defaultColWidth="8.6640625" defaultRowHeight="14.4"/>
  <cols>
    <col min="1" max="1" width="3" customWidth="1"/>
    <col min="2" max="2" width="28" customWidth="1"/>
    <col min="3" max="3" width="60" customWidth="1"/>
    <col min="4" max="4" width="20" customWidth="1"/>
  </cols>
  <sheetData>
    <row r="2" spans="2:3" ht="17.399999999999999">
      <c r="B2" s="1" t="s">
        <v>0</v>
      </c>
    </row>
    <row r="3" spans="2:3">
      <c r="B3" s="2" t="s">
        <v>1</v>
      </c>
    </row>
    <row r="5" spans="2:3">
      <c r="B5" s="2" t="s">
        <v>2</v>
      </c>
    </row>
    <row r="6" spans="2:3">
      <c r="B6" s="3" t="s">
        <v>3</v>
      </c>
    </row>
    <row r="7" spans="2:3">
      <c r="B7" s="3" t="s">
        <v>4</v>
      </c>
    </row>
    <row r="8" spans="2:3">
      <c r="B8" s="3" t="s">
        <v>5</v>
      </c>
    </row>
    <row r="9" spans="2:3">
      <c r="B9" s="3" t="s">
        <v>6</v>
      </c>
    </row>
    <row r="10" spans="2:3">
      <c r="B10" s="3" t="s">
        <v>7</v>
      </c>
    </row>
    <row r="12" spans="2:3">
      <c r="B12" s="2" t="s">
        <v>8</v>
      </c>
    </row>
    <row r="13" spans="2:3">
      <c r="B13" s="4" t="s">
        <v>9</v>
      </c>
      <c r="C13" s="4" t="s">
        <v>10</v>
      </c>
    </row>
    <row r="14" spans="2:3">
      <c r="B14" s="5" t="s">
        <v>11</v>
      </c>
      <c r="C14" s="3" t="s">
        <v>12</v>
      </c>
    </row>
    <row r="15" spans="2:3">
      <c r="B15" s="5" t="s">
        <v>13</v>
      </c>
      <c r="C15" s="3" t="s">
        <v>14</v>
      </c>
    </row>
    <row r="16" spans="2:3">
      <c r="B16" s="6" t="s">
        <v>15</v>
      </c>
      <c r="C16" s="3" t="s">
        <v>16</v>
      </c>
    </row>
    <row r="17" spans="2:3">
      <c r="B17" s="6" t="s">
        <v>17</v>
      </c>
      <c r="C17" s="3" t="s">
        <v>18</v>
      </c>
    </row>
    <row r="18" spans="2:3">
      <c r="B18" s="6" t="s">
        <v>19</v>
      </c>
      <c r="C18" s="3" t="s">
        <v>20</v>
      </c>
    </row>
    <row r="19" spans="2:3">
      <c r="B19" s="5" t="s">
        <v>21</v>
      </c>
      <c r="C19" s="7" t="s">
        <v>22</v>
      </c>
    </row>
    <row r="20" spans="2:3">
      <c r="B20" s="5" t="s">
        <v>23</v>
      </c>
      <c r="C20" s="3" t="s">
        <v>24</v>
      </c>
    </row>
    <row r="23" spans="2:3">
      <c r="B23" s="2" t="s">
        <v>25</v>
      </c>
    </row>
    <row r="24" spans="2:3">
      <c r="B24" s="8" t="s">
        <v>26</v>
      </c>
      <c r="C24" s="3" t="s">
        <v>27</v>
      </c>
    </row>
    <row r="25" spans="2:3">
      <c r="B25" s="9" t="s">
        <v>28</v>
      </c>
      <c r="C25" s="3" t="s">
        <v>29</v>
      </c>
    </row>
    <row r="26" spans="2:3">
      <c r="B26" s="5" t="s">
        <v>30</v>
      </c>
      <c r="C26" s="3" t="s">
        <v>31</v>
      </c>
    </row>
    <row r="27" spans="2:3">
      <c r="B27" s="5" t="s">
        <v>32</v>
      </c>
      <c r="C27" s="3" t="s">
        <v>33</v>
      </c>
    </row>
    <row r="30" spans="2:3">
      <c r="B30" s="2" t="s">
        <v>34</v>
      </c>
    </row>
    <row r="31" spans="2:3">
      <c r="B31" s="7" t="s">
        <v>35</v>
      </c>
    </row>
    <row r="32" spans="2:3">
      <c r="B32" s="7" t="s">
        <v>36</v>
      </c>
    </row>
    <row r="33" spans="2:4">
      <c r="B33" s="7" t="s">
        <v>37</v>
      </c>
    </row>
    <row r="34" spans="2:4">
      <c r="B34" s="7" t="s">
        <v>38</v>
      </c>
    </row>
    <row r="35" spans="2:4">
      <c r="B35" s="7" t="s">
        <v>39</v>
      </c>
    </row>
    <row r="38" spans="2:4" ht="30" customHeight="1">
      <c r="B38" s="55" t="s">
        <v>40</v>
      </c>
      <c r="C38" s="55"/>
      <c r="D38" s="55"/>
    </row>
  </sheetData>
  <mergeCells count="1">
    <mergeCell ref="B38:D38"/>
  </mergeCells>
  <phoneticPr fontId="29" type="noConversion"/>
  <pageMargins left="0.74803149606299213" right="0.74803149606299213" top="0.98425196850393704" bottom="0.98425196850393704" header="0.51181102362204722" footer="0.51181102362204722"/>
  <pageSetup paperSize="9" scale="79" fitToHeight="0" orientation="portrait" horizontalDpi="300" verticalDpi="300" r:id="rId1"/>
  <headerFooter>
    <oddHeader>&amp;C&amp;Z&amp;F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I21"/>
  <sheetViews>
    <sheetView zoomScaleNormal="100" workbookViewId="0"/>
  </sheetViews>
  <sheetFormatPr defaultColWidth="8.6640625" defaultRowHeight="14.4"/>
  <cols>
    <col min="1" max="1" width="3" customWidth="1"/>
    <col min="2" max="2" width="16" customWidth="1"/>
    <col min="3" max="3" width="10" customWidth="1"/>
    <col min="4" max="4" width="14" customWidth="1"/>
    <col min="5" max="7" width="16" customWidth="1"/>
    <col min="8" max="8" width="12" customWidth="1"/>
    <col min="9" max="9" width="34" customWidth="1"/>
  </cols>
  <sheetData>
    <row r="2" spans="2:9" ht="17.399999999999999">
      <c r="B2" s="1" t="s">
        <v>41</v>
      </c>
    </row>
    <row r="3" spans="2:9">
      <c r="B3" s="10" t="s">
        <v>42</v>
      </c>
    </row>
    <row r="4" spans="2:9">
      <c r="B4" s="11" t="s">
        <v>43</v>
      </c>
    </row>
    <row r="6" spans="2:9" ht="31.5" customHeight="1">
      <c r="B6" s="12" t="s">
        <v>44</v>
      </c>
      <c r="C6" s="12" t="s">
        <v>45</v>
      </c>
      <c r="D6" s="12" t="s">
        <v>46</v>
      </c>
      <c r="E6" s="13" t="s">
        <v>47</v>
      </c>
      <c r="F6" s="13" t="s">
        <v>48</v>
      </c>
      <c r="G6" s="13" t="s">
        <v>49</v>
      </c>
      <c r="H6" s="12" t="s">
        <v>50</v>
      </c>
      <c r="I6" s="12" t="s">
        <v>51</v>
      </c>
    </row>
    <row r="7" spans="2:9">
      <c r="B7" s="14" t="s">
        <v>52</v>
      </c>
      <c r="C7" s="15" t="s">
        <v>53</v>
      </c>
      <c r="D7" s="15">
        <v>35.200000000000003</v>
      </c>
      <c r="E7" s="15">
        <v>73200</v>
      </c>
      <c r="F7" s="15">
        <v>3</v>
      </c>
      <c r="G7" s="15">
        <v>0.6</v>
      </c>
      <c r="H7" s="15">
        <v>0.995</v>
      </c>
      <c r="I7" s="16" t="s">
        <v>54</v>
      </c>
    </row>
    <row r="8" spans="2:9">
      <c r="B8" s="14" t="s">
        <v>55</v>
      </c>
      <c r="C8" s="15" t="s">
        <v>53</v>
      </c>
      <c r="D8" s="16">
        <v>34.200000000000003</v>
      </c>
      <c r="E8" s="16">
        <v>73200</v>
      </c>
      <c r="F8" s="16">
        <v>3</v>
      </c>
      <c r="G8" s="16">
        <v>0.6</v>
      </c>
      <c r="H8" s="16">
        <v>0.995</v>
      </c>
      <c r="I8" s="16" t="s">
        <v>54</v>
      </c>
    </row>
    <row r="9" spans="2:9">
      <c r="B9" s="14" t="s">
        <v>56</v>
      </c>
      <c r="C9" s="15" t="s">
        <v>53</v>
      </c>
      <c r="D9" s="16">
        <v>30.4</v>
      </c>
      <c r="E9" s="16">
        <v>71600</v>
      </c>
      <c r="F9" s="16">
        <v>3</v>
      </c>
      <c r="G9" s="16">
        <v>0.6</v>
      </c>
      <c r="H9" s="16">
        <v>0.99</v>
      </c>
      <c r="I9" s="16" t="s">
        <v>54</v>
      </c>
    </row>
    <row r="10" spans="2:9">
      <c r="B10" s="17" t="s">
        <v>57</v>
      </c>
      <c r="C10" s="15" t="s">
        <v>58</v>
      </c>
      <c r="D10" s="16">
        <v>46.3</v>
      </c>
      <c r="E10" s="16">
        <v>64600</v>
      </c>
      <c r="F10" s="16">
        <v>1</v>
      </c>
      <c r="G10" s="16">
        <v>0.1</v>
      </c>
      <c r="H10" s="16">
        <v>0.99</v>
      </c>
      <c r="I10" s="16" t="s">
        <v>54</v>
      </c>
    </row>
    <row r="11" spans="2:9">
      <c r="B11" s="17" t="s">
        <v>59</v>
      </c>
      <c r="C11" s="15" t="s">
        <v>58</v>
      </c>
      <c r="D11" s="16">
        <v>45.7</v>
      </c>
      <c r="E11" s="16">
        <v>66300</v>
      </c>
      <c r="F11" s="16">
        <v>1</v>
      </c>
      <c r="G11" s="16">
        <v>0.1</v>
      </c>
      <c r="H11" s="16">
        <v>0.99</v>
      </c>
      <c r="I11" s="16" t="s">
        <v>54</v>
      </c>
    </row>
    <row r="12" spans="2:9">
      <c r="B12" s="14" t="s">
        <v>60</v>
      </c>
      <c r="C12" s="15" t="s">
        <v>61</v>
      </c>
      <c r="D12" s="16">
        <v>38.9</v>
      </c>
      <c r="E12" s="16">
        <v>56100</v>
      </c>
      <c r="F12" s="16">
        <v>1</v>
      </c>
      <c r="G12" s="16">
        <v>0.1</v>
      </c>
      <c r="H12" s="16">
        <v>0.995</v>
      </c>
      <c r="I12" s="16" t="s">
        <v>54</v>
      </c>
    </row>
    <row r="14" spans="2:9" ht="15" customHeight="1">
      <c r="B14" s="56" t="s">
        <v>62</v>
      </c>
      <c r="C14" s="56"/>
      <c r="D14" s="56"/>
      <c r="E14" s="56"/>
      <c r="F14" s="56"/>
      <c r="G14" s="56"/>
      <c r="H14" s="56"/>
      <c r="I14" s="56"/>
    </row>
    <row r="15" spans="2:9">
      <c r="B15" s="56"/>
      <c r="C15" s="56"/>
      <c r="D15" s="56"/>
      <c r="E15" s="56"/>
      <c r="F15" s="56"/>
      <c r="G15" s="56"/>
      <c r="H15" s="56"/>
      <c r="I15" s="56"/>
    </row>
    <row r="16" spans="2:9">
      <c r="B16" s="56"/>
      <c r="C16" s="56"/>
      <c r="D16" s="56"/>
      <c r="E16" s="56"/>
      <c r="F16" s="56"/>
      <c r="G16" s="56"/>
      <c r="H16" s="56"/>
      <c r="I16" s="56"/>
    </row>
    <row r="18" spans="2:9" ht="15" customHeight="1">
      <c r="B18" s="57" t="s">
        <v>63</v>
      </c>
      <c r="C18" s="57"/>
      <c r="D18" s="57"/>
      <c r="E18" s="57"/>
      <c r="F18" s="57"/>
      <c r="G18" s="57"/>
      <c r="H18" s="57"/>
      <c r="I18" s="57"/>
    </row>
    <row r="19" spans="2:9">
      <c r="B19" s="57"/>
      <c r="C19" s="57"/>
      <c r="D19" s="57"/>
      <c r="E19" s="57"/>
      <c r="F19" s="57"/>
      <c r="G19" s="57"/>
      <c r="H19" s="57"/>
      <c r="I19" s="57"/>
    </row>
    <row r="21" spans="2:9">
      <c r="B21" s="10" t="s">
        <v>64</v>
      </c>
    </row>
  </sheetData>
  <mergeCells count="2">
    <mergeCell ref="B14:I16"/>
    <mergeCell ref="B18:I19"/>
  </mergeCells>
  <phoneticPr fontId="29" type="noConversion"/>
  <pageMargins left="0.74803149606299213" right="0.74803149606299213" top="0.98425196850393704" bottom="0.98425196850393704" header="0.51181102362204722" footer="0.51181102362204722"/>
  <pageSetup paperSize="9" scale="96" fitToHeight="0" orientation="landscape" horizontalDpi="300" verticalDpi="300" r:id="rId1"/>
  <headerFooter>
    <oddHeader>&amp;C&amp;Z&amp;F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S21"/>
  <sheetViews>
    <sheetView zoomScaleNormal="100" workbookViewId="0"/>
  </sheetViews>
  <sheetFormatPr defaultColWidth="8.6640625" defaultRowHeight="14.4"/>
  <cols>
    <col min="1" max="1" width="3" customWidth="1"/>
    <col min="2" max="2" width="18" customWidth="1"/>
    <col min="3" max="3" width="8" customWidth="1"/>
    <col min="4" max="6" width="12" customWidth="1"/>
    <col min="7" max="7" width="14" customWidth="1"/>
    <col min="8" max="8" width="8" customWidth="1"/>
    <col min="9" max="10" width="12" customWidth="1"/>
    <col min="11" max="11" width="10" customWidth="1"/>
    <col min="12" max="12" width="12" customWidth="1"/>
    <col min="13" max="13" width="10" customWidth="1"/>
    <col min="14" max="17" width="12" customWidth="1"/>
    <col min="18" max="19" width="46" customWidth="1"/>
  </cols>
  <sheetData>
    <row r="2" spans="2:19" ht="17.399999999999999">
      <c r="B2" s="18" t="s">
        <v>65</v>
      </c>
    </row>
    <row r="3" spans="2:19">
      <c r="B3" s="19" t="s">
        <v>66</v>
      </c>
    </row>
    <row r="4" spans="2:19">
      <c r="B4" s="10" t="s">
        <v>67</v>
      </c>
    </row>
    <row r="6" spans="2:19" ht="18" customHeight="1">
      <c r="B6" s="58" t="s">
        <v>68</v>
      </c>
      <c r="C6" s="58"/>
      <c r="D6" s="58"/>
      <c r="E6" s="20" t="s">
        <v>69</v>
      </c>
      <c r="F6" s="20" t="s">
        <v>70</v>
      </c>
      <c r="G6" s="20" t="s">
        <v>71</v>
      </c>
      <c r="H6" s="20" t="s">
        <v>72</v>
      </c>
      <c r="I6" s="20" t="s">
        <v>73</v>
      </c>
      <c r="J6" s="59" t="s">
        <v>74</v>
      </c>
      <c r="K6" s="59"/>
      <c r="L6" s="59" t="s">
        <v>75</v>
      </c>
      <c r="M6" s="59"/>
      <c r="N6" s="58" t="s">
        <v>76</v>
      </c>
      <c r="O6" s="58"/>
      <c r="P6" s="58" t="s">
        <v>77</v>
      </c>
      <c r="Q6" s="58"/>
      <c r="R6" s="21" t="s">
        <v>78</v>
      </c>
      <c r="S6" s="21" t="s">
        <v>79</v>
      </c>
    </row>
    <row r="7" spans="2:19" ht="33.75" customHeight="1">
      <c r="B7" s="12" t="s">
        <v>80</v>
      </c>
      <c r="C7" s="12" t="s">
        <v>45</v>
      </c>
      <c r="D7" s="12" t="s">
        <v>81</v>
      </c>
      <c r="E7" s="12" t="s">
        <v>82</v>
      </c>
      <c r="F7" s="12" t="s">
        <v>83</v>
      </c>
      <c r="G7" s="13" t="s">
        <v>84</v>
      </c>
      <c r="H7" s="12" t="s">
        <v>85</v>
      </c>
      <c r="I7" s="13" t="s">
        <v>86</v>
      </c>
      <c r="J7" s="13" t="s">
        <v>87</v>
      </c>
      <c r="K7" s="13" t="s">
        <v>88</v>
      </c>
      <c r="L7" s="13" t="s">
        <v>89</v>
      </c>
      <c r="M7" s="13" t="s">
        <v>90</v>
      </c>
      <c r="N7" s="13" t="s">
        <v>91</v>
      </c>
      <c r="O7" s="13" t="s">
        <v>92</v>
      </c>
      <c r="P7" s="13" t="s">
        <v>93</v>
      </c>
      <c r="Q7" s="13" t="s">
        <v>94</v>
      </c>
      <c r="R7" s="12" t="s">
        <v>95</v>
      </c>
      <c r="S7" s="12" t="s">
        <v>96</v>
      </c>
    </row>
    <row r="8" spans="2:19" ht="25.5" customHeight="1">
      <c r="B8" s="22" t="s">
        <v>97</v>
      </c>
      <c r="C8" s="23" t="str">
        <f t="shared" ref="C8:C15" si="0">IFERROR(INDEX(FUEL_TABLE,MATCH($B8,INDEX(FUEL_TABLE,0,1),0),2),"")</f>
        <v>Nm³</v>
      </c>
      <c r="D8" s="24">
        <v>50000</v>
      </c>
      <c r="E8" s="23">
        <f t="shared" ref="E8:E15" si="1">IFERROR(INDEX(FUEL_TABLE,MATCH($B8,INDEX(FUEL_TABLE,0,1),0),3),"")</f>
        <v>38.9</v>
      </c>
      <c r="F8" s="25">
        <f t="shared" ref="F8:F15" si="2">IFERROR(D8*E8/1000000,0)</f>
        <v>1.9450000000000001</v>
      </c>
      <c r="G8" s="23">
        <f t="shared" ref="G8:G15" si="3">IFERROR(INDEX(FUEL_TABLE,MATCH($B8,INDEX(FUEL_TABLE,0,1),0),4),"")</f>
        <v>56100</v>
      </c>
      <c r="H8" s="23">
        <f t="shared" ref="H8:H15" si="4">IFERROR(INDEX(FUEL_TABLE,MATCH($B8,INDEX(FUEL_TABLE,0,1),0),7),"")</f>
        <v>0.995</v>
      </c>
      <c r="I8" s="26">
        <f t="shared" ref="I8:I15" si="5">IFERROR(F8*G8*H8,0)</f>
        <v>108568.92750000001</v>
      </c>
      <c r="J8" s="23">
        <f t="shared" ref="J8:J15" si="6">IFERROR(INDEX(FUEL_TABLE,MATCH($B8,INDEX(FUEL_TABLE,0,1),0),5),"")</f>
        <v>1</v>
      </c>
      <c r="K8" s="27">
        <f t="shared" ref="K8:K15" si="7">IFERROR(F8*J8,0)</f>
        <v>1.9450000000000001</v>
      </c>
      <c r="L8" s="23">
        <f t="shared" ref="L8:L15" si="8">IFERROR(INDEX(FUEL_TABLE,MATCH($B8,INDEX(FUEL_TABLE,0,1),0),6),"")</f>
        <v>0.1</v>
      </c>
      <c r="M8" s="27">
        <f t="shared" ref="M8:M15" si="9">IFERROR(F8*L8,0)</f>
        <v>0.19450000000000001</v>
      </c>
      <c r="N8" s="26">
        <f t="shared" ref="N8:N15" si="10">IFERROR(I8+K8*28+M8*265,0)</f>
        <v>108674.93000000001</v>
      </c>
      <c r="O8" s="28">
        <f t="shared" ref="O8:O15" si="11">IFERROR(N8/1000,0)</f>
        <v>108.67493</v>
      </c>
      <c r="P8" s="26">
        <f t="shared" ref="P8:P15" si="12">IFERROR(I8+K8*29.8+M8*273,0)</f>
        <v>108679.98699999999</v>
      </c>
      <c r="Q8" s="29">
        <f t="shared" ref="Q8:Q15" si="13">IFERROR(P8/1000,0)</f>
        <v>108.679987</v>
      </c>
      <c r="R8" s="30" t="str">
        <f t="shared" ref="R8:R15" si="14">IF(OR($B8="",$D8=""),"","CO2 "&amp;TEXT(I8,"#,##0")&amp;" + CH4 "&amp;TEXT(K8,"0.0")&amp;"×28 + N2O "&amp;TEXT(M8,"0.00")&amp;"×265 = "&amp;TEXT(N8,"#,##0")&amp;" kgCO2eq")</f>
        <v>CO2 108,569 + CH4 1.9×28 + N2O 0.19×265 = 108,675 kgCO2eq</v>
      </c>
      <c r="S8" s="30" t="str">
        <f t="shared" ref="S8:S15" si="15">IF(OR($B8="",$D8=""),"","CO2 "&amp;TEXT(I8,"#,##0")&amp;" + CH4 "&amp;TEXT(K8,"0.0")&amp;"×29.8 + N2O "&amp;TEXT(M8,"0.00")&amp;"×273 = "&amp;TEXT(P8,"#,##0")&amp;" kgCO2eq")</f>
        <v>CO2 108,569 + CH4 1.9×29.8 + N2O 0.19×273 = 108,680 kgCO2eq</v>
      </c>
    </row>
    <row r="9" spans="2:19" ht="25.5" customHeight="1">
      <c r="B9" s="22" t="s">
        <v>98</v>
      </c>
      <c r="C9" s="23" t="str">
        <f t="shared" si="0"/>
        <v>L</v>
      </c>
      <c r="D9" s="24">
        <v>30000</v>
      </c>
      <c r="E9" s="23">
        <f t="shared" si="1"/>
        <v>35.200000000000003</v>
      </c>
      <c r="F9" s="25">
        <f t="shared" si="2"/>
        <v>1.056</v>
      </c>
      <c r="G9" s="23">
        <f t="shared" si="3"/>
        <v>73200</v>
      </c>
      <c r="H9" s="23">
        <f t="shared" si="4"/>
        <v>0.995</v>
      </c>
      <c r="I9" s="26">
        <f t="shared" si="5"/>
        <v>76912.703999999998</v>
      </c>
      <c r="J9" s="23">
        <f t="shared" si="6"/>
        <v>3</v>
      </c>
      <c r="K9" s="27">
        <f t="shared" si="7"/>
        <v>3.1680000000000001</v>
      </c>
      <c r="L9" s="23">
        <f t="shared" si="8"/>
        <v>0.6</v>
      </c>
      <c r="M9" s="27">
        <f t="shared" si="9"/>
        <v>0.63360000000000005</v>
      </c>
      <c r="N9" s="26">
        <f t="shared" si="10"/>
        <v>77169.311999999991</v>
      </c>
      <c r="O9" s="28">
        <f t="shared" si="11"/>
        <v>77.169311999999991</v>
      </c>
      <c r="P9" s="26">
        <f t="shared" si="12"/>
        <v>77180.083200000008</v>
      </c>
      <c r="Q9" s="29">
        <f t="shared" si="13"/>
        <v>77.180083200000013</v>
      </c>
      <c r="R9" s="30" t="str">
        <f t="shared" si="14"/>
        <v>CO2 76,913 + CH4 3.2×28 + N2O 0.63×265 = 77,169 kgCO2eq</v>
      </c>
      <c r="S9" s="30" t="str">
        <f t="shared" si="15"/>
        <v>CO2 76,913 + CH4 3.2×29.8 + N2O 0.63×273 = 77,180 kgCO2eq</v>
      </c>
    </row>
    <row r="10" spans="2:19" ht="25.5" customHeight="1">
      <c r="B10" s="31" t="s">
        <v>99</v>
      </c>
      <c r="C10" s="23" t="str">
        <f t="shared" si="0"/>
        <v>kg</v>
      </c>
      <c r="D10" s="24">
        <v>8000</v>
      </c>
      <c r="E10" s="23">
        <f t="shared" si="1"/>
        <v>46.3</v>
      </c>
      <c r="F10" s="25">
        <f t="shared" si="2"/>
        <v>0.37040000000000001</v>
      </c>
      <c r="G10" s="23">
        <f t="shared" si="3"/>
        <v>64600</v>
      </c>
      <c r="H10" s="23">
        <f t="shared" si="4"/>
        <v>0.99</v>
      </c>
      <c r="I10" s="26">
        <f t="shared" si="5"/>
        <v>23688.561600000001</v>
      </c>
      <c r="J10" s="23">
        <f t="shared" si="6"/>
        <v>1</v>
      </c>
      <c r="K10" s="27">
        <f t="shared" si="7"/>
        <v>0.37040000000000001</v>
      </c>
      <c r="L10" s="23">
        <f t="shared" si="8"/>
        <v>0.1</v>
      </c>
      <c r="M10" s="27">
        <f t="shared" si="9"/>
        <v>3.7040000000000003E-2</v>
      </c>
      <c r="N10" s="26">
        <f t="shared" si="10"/>
        <v>23708.748400000004</v>
      </c>
      <c r="O10" s="28">
        <f t="shared" si="11"/>
        <v>23.708748400000005</v>
      </c>
      <c r="P10" s="26">
        <f t="shared" si="12"/>
        <v>23709.711439999999</v>
      </c>
      <c r="Q10" s="29">
        <f t="shared" si="13"/>
        <v>23.70971144</v>
      </c>
      <c r="R10" s="30" t="str">
        <f t="shared" si="14"/>
        <v>CO2 23,689 + CH4 0.4×28 + N2O 0.04×265 = 23,709 kgCO2eq</v>
      </c>
      <c r="S10" s="30" t="str">
        <f t="shared" si="15"/>
        <v>CO2 23,689 + CH4 0.4×29.8 + N2O 0.04×273 = 23,710 kgCO2eq</v>
      </c>
    </row>
    <row r="11" spans="2:19" ht="25.5" customHeight="1">
      <c r="B11" s="22" t="s">
        <v>100</v>
      </c>
      <c r="C11" s="23" t="str">
        <f t="shared" si="0"/>
        <v>L</v>
      </c>
      <c r="D11" s="24">
        <v>0</v>
      </c>
      <c r="E11" s="23">
        <f t="shared" si="1"/>
        <v>34.200000000000003</v>
      </c>
      <c r="F11" s="25">
        <f t="shared" si="2"/>
        <v>0</v>
      </c>
      <c r="G11" s="23">
        <f t="shared" si="3"/>
        <v>73200</v>
      </c>
      <c r="H11" s="23">
        <f t="shared" si="4"/>
        <v>0.995</v>
      </c>
      <c r="I11" s="26">
        <f t="shared" si="5"/>
        <v>0</v>
      </c>
      <c r="J11" s="23">
        <f t="shared" si="6"/>
        <v>3</v>
      </c>
      <c r="K11" s="27">
        <f t="shared" si="7"/>
        <v>0</v>
      </c>
      <c r="L11" s="23">
        <f t="shared" si="8"/>
        <v>0.6</v>
      </c>
      <c r="M11" s="27">
        <f t="shared" si="9"/>
        <v>0</v>
      </c>
      <c r="N11" s="26">
        <f t="shared" si="10"/>
        <v>0</v>
      </c>
      <c r="O11" s="28">
        <f t="shared" si="11"/>
        <v>0</v>
      </c>
      <c r="P11" s="26">
        <f t="shared" si="12"/>
        <v>0</v>
      </c>
      <c r="Q11" s="29">
        <f t="shared" si="13"/>
        <v>0</v>
      </c>
      <c r="R11" s="30" t="str">
        <f t="shared" si="14"/>
        <v>CO2 0 + CH4 0.0×28 + N2O 0.00×265 = 0 kgCO2eq</v>
      </c>
      <c r="S11" s="30" t="str">
        <f t="shared" si="15"/>
        <v>CO2 0 + CH4 0.0×29.8 + N2O 0.00×273 = 0 kgCO2eq</v>
      </c>
    </row>
    <row r="12" spans="2:19" ht="25.5" customHeight="1">
      <c r="B12" s="31"/>
      <c r="C12" s="23" t="str">
        <f t="shared" si="0"/>
        <v/>
      </c>
      <c r="D12" s="24"/>
      <c r="E12" s="23" t="str">
        <f t="shared" si="1"/>
        <v/>
      </c>
      <c r="F12" s="25">
        <f t="shared" si="2"/>
        <v>0</v>
      </c>
      <c r="G12" s="23" t="str">
        <f t="shared" si="3"/>
        <v/>
      </c>
      <c r="H12" s="23" t="str">
        <f t="shared" si="4"/>
        <v/>
      </c>
      <c r="I12" s="26">
        <f t="shared" si="5"/>
        <v>0</v>
      </c>
      <c r="J12" s="23" t="str">
        <f t="shared" si="6"/>
        <v/>
      </c>
      <c r="K12" s="27">
        <f t="shared" si="7"/>
        <v>0</v>
      </c>
      <c r="L12" s="23" t="str">
        <f t="shared" si="8"/>
        <v/>
      </c>
      <c r="M12" s="27">
        <f t="shared" si="9"/>
        <v>0</v>
      </c>
      <c r="N12" s="26">
        <f t="shared" si="10"/>
        <v>0</v>
      </c>
      <c r="O12" s="28">
        <f t="shared" si="11"/>
        <v>0</v>
      </c>
      <c r="P12" s="26">
        <f t="shared" si="12"/>
        <v>0</v>
      </c>
      <c r="Q12" s="29">
        <f t="shared" si="13"/>
        <v>0</v>
      </c>
      <c r="R12" s="30" t="str">
        <f t="shared" si="14"/>
        <v/>
      </c>
      <c r="S12" s="30" t="str">
        <f t="shared" si="15"/>
        <v/>
      </c>
    </row>
    <row r="13" spans="2:19" ht="25.5" customHeight="1">
      <c r="B13" s="31"/>
      <c r="C13" s="23" t="str">
        <f t="shared" si="0"/>
        <v/>
      </c>
      <c r="D13" s="24"/>
      <c r="E13" s="23" t="str">
        <f t="shared" si="1"/>
        <v/>
      </c>
      <c r="F13" s="25">
        <f t="shared" si="2"/>
        <v>0</v>
      </c>
      <c r="G13" s="23" t="str">
        <f t="shared" si="3"/>
        <v/>
      </c>
      <c r="H13" s="23" t="str">
        <f t="shared" si="4"/>
        <v/>
      </c>
      <c r="I13" s="26">
        <f t="shared" si="5"/>
        <v>0</v>
      </c>
      <c r="J13" s="23" t="str">
        <f t="shared" si="6"/>
        <v/>
      </c>
      <c r="K13" s="27">
        <f t="shared" si="7"/>
        <v>0</v>
      </c>
      <c r="L13" s="23" t="str">
        <f t="shared" si="8"/>
        <v/>
      </c>
      <c r="M13" s="27">
        <f t="shared" si="9"/>
        <v>0</v>
      </c>
      <c r="N13" s="26">
        <f t="shared" si="10"/>
        <v>0</v>
      </c>
      <c r="O13" s="28">
        <f t="shared" si="11"/>
        <v>0</v>
      </c>
      <c r="P13" s="26">
        <f t="shared" si="12"/>
        <v>0</v>
      </c>
      <c r="Q13" s="29">
        <f t="shared" si="13"/>
        <v>0</v>
      </c>
      <c r="R13" s="30" t="str">
        <f t="shared" si="14"/>
        <v/>
      </c>
      <c r="S13" s="30" t="str">
        <f t="shared" si="15"/>
        <v/>
      </c>
    </row>
    <row r="14" spans="2:19" ht="25.5" customHeight="1">
      <c r="B14" s="31"/>
      <c r="C14" s="23" t="str">
        <f t="shared" si="0"/>
        <v/>
      </c>
      <c r="D14" s="24"/>
      <c r="E14" s="23" t="str">
        <f t="shared" si="1"/>
        <v/>
      </c>
      <c r="F14" s="25">
        <f t="shared" si="2"/>
        <v>0</v>
      </c>
      <c r="G14" s="23" t="str">
        <f t="shared" si="3"/>
        <v/>
      </c>
      <c r="H14" s="23" t="str">
        <f t="shared" si="4"/>
        <v/>
      </c>
      <c r="I14" s="26">
        <f t="shared" si="5"/>
        <v>0</v>
      </c>
      <c r="J14" s="23" t="str">
        <f t="shared" si="6"/>
        <v/>
      </c>
      <c r="K14" s="27">
        <f t="shared" si="7"/>
        <v>0</v>
      </c>
      <c r="L14" s="23" t="str">
        <f t="shared" si="8"/>
        <v/>
      </c>
      <c r="M14" s="27">
        <f t="shared" si="9"/>
        <v>0</v>
      </c>
      <c r="N14" s="26">
        <f t="shared" si="10"/>
        <v>0</v>
      </c>
      <c r="O14" s="28">
        <f t="shared" si="11"/>
        <v>0</v>
      </c>
      <c r="P14" s="26">
        <f t="shared" si="12"/>
        <v>0</v>
      </c>
      <c r="Q14" s="29">
        <f t="shared" si="13"/>
        <v>0</v>
      </c>
      <c r="R14" s="30" t="str">
        <f t="shared" si="14"/>
        <v/>
      </c>
      <c r="S14" s="30" t="str">
        <f t="shared" si="15"/>
        <v/>
      </c>
    </row>
    <row r="15" spans="2:19" ht="25.5" customHeight="1">
      <c r="B15" s="31"/>
      <c r="C15" s="23" t="str">
        <f t="shared" si="0"/>
        <v/>
      </c>
      <c r="D15" s="24"/>
      <c r="E15" s="23" t="str">
        <f t="shared" si="1"/>
        <v/>
      </c>
      <c r="F15" s="25">
        <f t="shared" si="2"/>
        <v>0</v>
      </c>
      <c r="G15" s="23" t="str">
        <f t="shared" si="3"/>
        <v/>
      </c>
      <c r="H15" s="23" t="str">
        <f t="shared" si="4"/>
        <v/>
      </c>
      <c r="I15" s="26">
        <f t="shared" si="5"/>
        <v>0</v>
      </c>
      <c r="J15" s="23" t="str">
        <f t="shared" si="6"/>
        <v/>
      </c>
      <c r="K15" s="27">
        <f t="shared" si="7"/>
        <v>0</v>
      </c>
      <c r="L15" s="23" t="str">
        <f t="shared" si="8"/>
        <v/>
      </c>
      <c r="M15" s="27">
        <f t="shared" si="9"/>
        <v>0</v>
      </c>
      <c r="N15" s="26">
        <f t="shared" si="10"/>
        <v>0</v>
      </c>
      <c r="O15" s="28">
        <f t="shared" si="11"/>
        <v>0</v>
      </c>
      <c r="P15" s="26">
        <f t="shared" si="12"/>
        <v>0</v>
      </c>
      <c r="Q15" s="29">
        <f t="shared" si="13"/>
        <v>0</v>
      </c>
      <c r="R15" s="30" t="str">
        <f t="shared" si="14"/>
        <v/>
      </c>
      <c r="S15" s="30" t="str">
        <f t="shared" si="15"/>
        <v/>
      </c>
    </row>
    <row r="16" spans="2:19">
      <c r="B16" s="5" t="s">
        <v>101</v>
      </c>
      <c r="N16" s="32">
        <f>SUM(N8:N15)</f>
        <v>209552.99040000001</v>
      </c>
      <c r="O16" s="33">
        <f>SUM(O8:O15)</f>
        <v>209.5529904</v>
      </c>
      <c r="P16" s="32">
        <f>SUM(P8:P15)</f>
        <v>209569.78164</v>
      </c>
      <c r="Q16" s="33">
        <f>SUM(Q8:Q15)</f>
        <v>209.56978164</v>
      </c>
    </row>
    <row r="18" spans="2:2">
      <c r="B18" s="10" t="s">
        <v>102</v>
      </c>
    </row>
    <row r="19" spans="2:2">
      <c r="B19" s="10" t="s">
        <v>103</v>
      </c>
    </row>
    <row r="20" spans="2:2">
      <c r="B20" s="10" t="s">
        <v>104</v>
      </c>
    </row>
    <row r="21" spans="2:2">
      <c r="B21" s="34" t="s">
        <v>105</v>
      </c>
    </row>
  </sheetData>
  <mergeCells count="5">
    <mergeCell ref="B6:D6"/>
    <mergeCell ref="J6:K6"/>
    <mergeCell ref="L6:M6"/>
    <mergeCell ref="N6:O6"/>
    <mergeCell ref="P6:Q6"/>
  </mergeCells>
  <phoneticPr fontId="29" type="noConversion"/>
  <pageMargins left="0.75" right="0.75" top="1" bottom="1" header="0.511811023622047" footer="0.511811023622047"/>
  <pageSetup paperSize="9" scale="46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S20"/>
  <sheetViews>
    <sheetView zoomScaleNormal="100" workbookViewId="0"/>
  </sheetViews>
  <sheetFormatPr defaultColWidth="8.6640625" defaultRowHeight="14.4"/>
  <cols>
    <col min="1" max="1" width="3" customWidth="1"/>
    <col min="2" max="2" width="18" customWidth="1"/>
    <col min="3" max="3" width="8" customWidth="1"/>
    <col min="4" max="6" width="12" customWidth="1"/>
    <col min="7" max="7" width="14" customWidth="1"/>
    <col min="8" max="8" width="8" customWidth="1"/>
    <col min="9" max="10" width="12" customWidth="1"/>
    <col min="11" max="11" width="10" customWidth="1"/>
    <col min="12" max="12" width="12" customWidth="1"/>
    <col min="13" max="13" width="10" customWidth="1"/>
    <col min="14" max="17" width="12" customWidth="1"/>
    <col min="18" max="19" width="46" customWidth="1"/>
  </cols>
  <sheetData>
    <row r="2" spans="2:19" ht="17.399999999999999">
      <c r="B2" s="18" t="s">
        <v>106</v>
      </c>
    </row>
    <row r="3" spans="2:19">
      <c r="B3" s="19" t="s">
        <v>107</v>
      </c>
    </row>
    <row r="4" spans="2:19">
      <c r="B4" s="10" t="s">
        <v>67</v>
      </c>
    </row>
    <row r="5" spans="2:19">
      <c r="B5" s="10" t="s">
        <v>108</v>
      </c>
    </row>
    <row r="6" spans="2:19" ht="18" customHeight="1">
      <c r="B6" s="58" t="s">
        <v>68</v>
      </c>
      <c r="C6" s="58"/>
      <c r="D6" s="58"/>
      <c r="E6" s="20" t="s">
        <v>69</v>
      </c>
      <c r="F6" s="20" t="s">
        <v>70</v>
      </c>
      <c r="G6" s="20" t="s">
        <v>71</v>
      </c>
      <c r="H6" s="20" t="s">
        <v>72</v>
      </c>
      <c r="I6" s="20" t="s">
        <v>73</v>
      </c>
      <c r="J6" s="59" t="s">
        <v>74</v>
      </c>
      <c r="K6" s="59"/>
      <c r="L6" s="59" t="s">
        <v>75</v>
      </c>
      <c r="M6" s="59"/>
      <c r="N6" s="58" t="s">
        <v>76</v>
      </c>
      <c r="O6" s="58"/>
      <c r="P6" s="58" t="s">
        <v>77</v>
      </c>
      <c r="Q6" s="58"/>
      <c r="R6" s="21" t="s">
        <v>78</v>
      </c>
      <c r="S6" s="21" t="s">
        <v>79</v>
      </c>
    </row>
    <row r="7" spans="2:19" ht="33.75" customHeight="1">
      <c r="B7" s="12" t="s">
        <v>80</v>
      </c>
      <c r="C7" s="12" t="s">
        <v>45</v>
      </c>
      <c r="D7" s="12" t="s">
        <v>81</v>
      </c>
      <c r="E7" s="12" t="s">
        <v>82</v>
      </c>
      <c r="F7" s="12" t="s">
        <v>83</v>
      </c>
      <c r="G7" s="13" t="s">
        <v>84</v>
      </c>
      <c r="H7" s="12" t="s">
        <v>85</v>
      </c>
      <c r="I7" s="13" t="s">
        <v>86</v>
      </c>
      <c r="J7" s="13" t="s">
        <v>87</v>
      </c>
      <c r="K7" s="13" t="s">
        <v>88</v>
      </c>
      <c r="L7" s="13" t="s">
        <v>89</v>
      </c>
      <c r="M7" s="13" t="s">
        <v>90</v>
      </c>
      <c r="N7" s="13" t="s">
        <v>91</v>
      </c>
      <c r="O7" s="13" t="s">
        <v>92</v>
      </c>
      <c r="P7" s="13" t="s">
        <v>93</v>
      </c>
      <c r="Q7" s="13" t="s">
        <v>94</v>
      </c>
      <c r="R7" s="12" t="s">
        <v>95</v>
      </c>
      <c r="S7" s="12" t="s">
        <v>96</v>
      </c>
    </row>
    <row r="8" spans="2:19" ht="25.5" customHeight="1">
      <c r="B8" s="22" t="s">
        <v>98</v>
      </c>
      <c r="C8" s="23" t="str">
        <f t="shared" ref="C8:C14" si="0">IFERROR(INDEX(FUEL_TABLE,MATCH($B8,INDEX(FUEL_TABLE,0,1),0),2),"")</f>
        <v>L</v>
      </c>
      <c r="D8" s="24">
        <v>12000</v>
      </c>
      <c r="E8" s="23">
        <f t="shared" ref="E8:E14" si="1">IFERROR(INDEX(FUEL_TABLE,MATCH($B8,INDEX(FUEL_TABLE,0,1),0),3),"")</f>
        <v>35.200000000000003</v>
      </c>
      <c r="F8" s="25">
        <f t="shared" ref="F8:F14" si="2">IFERROR(D8*E8/1000000,0)</f>
        <v>0.42240000000000005</v>
      </c>
      <c r="G8" s="23">
        <f t="shared" ref="G8:G14" si="3">IFERROR(INDEX(FUEL_TABLE,MATCH($B8,INDEX(FUEL_TABLE,0,1),0),4),"")</f>
        <v>73200</v>
      </c>
      <c r="H8" s="23">
        <f t="shared" ref="H8:H14" si="4">IFERROR(INDEX(FUEL_TABLE,MATCH($B8,INDEX(FUEL_TABLE,0,1),0),7),"")</f>
        <v>0.995</v>
      </c>
      <c r="I8" s="26">
        <f t="shared" ref="I8:I14" si="5">IFERROR(F8*G8*H8,0)</f>
        <v>30765.081600000005</v>
      </c>
      <c r="J8" s="23">
        <f t="shared" ref="J8:J14" si="6">IFERROR(INDEX(FUEL_TABLE,MATCH($B8,INDEX(FUEL_TABLE,0,1),0),5),"")</f>
        <v>3</v>
      </c>
      <c r="K8" s="27">
        <f t="shared" ref="K8:K14" si="7">IFERROR(F8*J8,0)</f>
        <v>1.2672000000000001</v>
      </c>
      <c r="L8" s="23">
        <f t="shared" ref="L8:L14" si="8">IFERROR(INDEX(FUEL_TABLE,MATCH($B8,INDEX(FUEL_TABLE,0,1),0),6),"")</f>
        <v>0.6</v>
      </c>
      <c r="M8" s="27">
        <f t="shared" ref="M8:M14" si="9">IFERROR(F8*L8,0)</f>
        <v>0.25344</v>
      </c>
      <c r="N8" s="26">
        <f t="shared" ref="N8:N14" si="10">IFERROR(I8+K8*28+M8*265,0)</f>
        <v>30867.724800000004</v>
      </c>
      <c r="O8" s="28">
        <f t="shared" ref="O8:O14" si="11">IFERROR(N8/1000,0)</f>
        <v>30.867724800000005</v>
      </c>
      <c r="P8" s="26">
        <f t="shared" ref="P8:P14" si="12">IFERROR(I8+K8*29.8+M8*273,0)</f>
        <v>30872.033280000003</v>
      </c>
      <c r="Q8" s="29">
        <f t="shared" ref="Q8:Q14" si="13">IFERROR(P8/1000,0)</f>
        <v>30.872033280000004</v>
      </c>
      <c r="R8" s="30" t="str">
        <f t="shared" ref="R8:R14" si="14">IF(OR($B8="",$D8=""),"","CO2 "&amp;TEXT(I8,"#,##0")&amp;" + CH4 "&amp;TEXT(K8,"0.0")&amp;"×28 + N2O "&amp;TEXT(M8,"0.00")&amp;"×265 = "&amp;TEXT(N8,"#,##0")&amp;" kgCO2eq")</f>
        <v>CO2 30,765 + CH4 1.3×28 + N2O 0.25×265 = 30,868 kgCO2eq</v>
      </c>
      <c r="S8" s="30" t="str">
        <f t="shared" ref="S8:S14" si="15">IF(OR($B8="",$D8=""),"","CO2 "&amp;TEXT(I8,"#,##0")&amp;" + CH4 "&amp;TEXT(K8,"0.0")&amp;"×29.8 + N2O "&amp;TEXT(M8,"0.00")&amp;"×273 = "&amp;TEXT(P8,"#,##0")&amp;" kgCO2eq")</f>
        <v>CO2 30,765 + CH4 1.3×29.8 + N2O 0.25×273 = 30,872 kgCO2eq</v>
      </c>
    </row>
    <row r="9" spans="2:19" ht="25.5" customHeight="1">
      <c r="B9" s="22" t="s">
        <v>98</v>
      </c>
      <c r="C9" s="23" t="str">
        <f t="shared" si="0"/>
        <v>L</v>
      </c>
      <c r="D9" s="24">
        <v>5000</v>
      </c>
      <c r="E9" s="23">
        <f t="shared" si="1"/>
        <v>35.200000000000003</v>
      </c>
      <c r="F9" s="25">
        <f t="shared" si="2"/>
        <v>0.17599999999999999</v>
      </c>
      <c r="G9" s="23">
        <f t="shared" si="3"/>
        <v>73200</v>
      </c>
      <c r="H9" s="23">
        <f t="shared" si="4"/>
        <v>0.995</v>
      </c>
      <c r="I9" s="26">
        <f t="shared" si="5"/>
        <v>12818.784</v>
      </c>
      <c r="J9" s="23">
        <f t="shared" si="6"/>
        <v>3</v>
      </c>
      <c r="K9" s="27">
        <f t="shared" si="7"/>
        <v>0.52800000000000002</v>
      </c>
      <c r="L9" s="23">
        <f t="shared" si="8"/>
        <v>0.6</v>
      </c>
      <c r="M9" s="27">
        <f t="shared" si="9"/>
        <v>0.10559999999999999</v>
      </c>
      <c r="N9" s="26">
        <f t="shared" si="10"/>
        <v>12861.552</v>
      </c>
      <c r="O9" s="28">
        <f t="shared" si="11"/>
        <v>12.861552</v>
      </c>
      <c r="P9" s="26">
        <f t="shared" si="12"/>
        <v>12863.347199999998</v>
      </c>
      <c r="Q9" s="29">
        <f t="shared" si="13"/>
        <v>12.863347199999998</v>
      </c>
      <c r="R9" s="30" t="str">
        <f t="shared" si="14"/>
        <v>CO2 12,819 + CH4 0.5×28 + N2O 0.11×265 = 12,862 kgCO2eq</v>
      </c>
      <c r="S9" s="30" t="str">
        <f t="shared" si="15"/>
        <v>CO2 12,819 + CH4 0.5×29.8 + N2O 0.11×273 = 12,863 kgCO2eq</v>
      </c>
    </row>
    <row r="10" spans="2:19" ht="25.5" customHeight="1">
      <c r="B10" s="22" t="s">
        <v>109</v>
      </c>
      <c r="C10" s="23" t="str">
        <f t="shared" si="0"/>
        <v>L</v>
      </c>
      <c r="D10" s="24">
        <v>3000</v>
      </c>
      <c r="E10" s="23">
        <f t="shared" si="1"/>
        <v>30.4</v>
      </c>
      <c r="F10" s="25">
        <f t="shared" si="2"/>
        <v>9.1200000000000003E-2</v>
      </c>
      <c r="G10" s="23">
        <f t="shared" si="3"/>
        <v>71600</v>
      </c>
      <c r="H10" s="23">
        <f t="shared" si="4"/>
        <v>0.99</v>
      </c>
      <c r="I10" s="26">
        <f t="shared" si="5"/>
        <v>6464.6207999999997</v>
      </c>
      <c r="J10" s="23">
        <f t="shared" si="6"/>
        <v>3</v>
      </c>
      <c r="K10" s="27">
        <f t="shared" si="7"/>
        <v>0.27360000000000001</v>
      </c>
      <c r="L10" s="23">
        <f t="shared" si="8"/>
        <v>0.6</v>
      </c>
      <c r="M10" s="27">
        <f t="shared" si="9"/>
        <v>5.4719999999999998E-2</v>
      </c>
      <c r="N10" s="26">
        <f t="shared" si="10"/>
        <v>6486.7823999999991</v>
      </c>
      <c r="O10" s="28">
        <f t="shared" si="11"/>
        <v>6.4867823999999992</v>
      </c>
      <c r="P10" s="26">
        <f t="shared" si="12"/>
        <v>6487.7126399999997</v>
      </c>
      <c r="Q10" s="29">
        <f t="shared" si="13"/>
        <v>6.4877126399999998</v>
      </c>
      <c r="R10" s="30" t="str">
        <f t="shared" si="14"/>
        <v>CO2 6,465 + CH4 0.3×28 + N2O 0.05×265 = 6,487 kgCO2eq</v>
      </c>
      <c r="S10" s="30" t="str">
        <f t="shared" si="15"/>
        <v>CO2 6,465 + CH4 0.3×29.8 + N2O 0.05×273 = 6,488 kgCO2eq</v>
      </c>
    </row>
    <row r="11" spans="2:19" ht="25.5" customHeight="1">
      <c r="B11" s="31"/>
      <c r="C11" s="23" t="str">
        <f t="shared" si="0"/>
        <v/>
      </c>
      <c r="D11" s="24"/>
      <c r="E11" s="23" t="str">
        <f t="shared" si="1"/>
        <v/>
      </c>
      <c r="F11" s="25">
        <f t="shared" si="2"/>
        <v>0</v>
      </c>
      <c r="G11" s="23" t="str">
        <f t="shared" si="3"/>
        <v/>
      </c>
      <c r="H11" s="23" t="str">
        <f t="shared" si="4"/>
        <v/>
      </c>
      <c r="I11" s="26">
        <f t="shared" si="5"/>
        <v>0</v>
      </c>
      <c r="J11" s="23" t="str">
        <f t="shared" si="6"/>
        <v/>
      </c>
      <c r="K11" s="27">
        <f t="shared" si="7"/>
        <v>0</v>
      </c>
      <c r="L11" s="23" t="str">
        <f t="shared" si="8"/>
        <v/>
      </c>
      <c r="M11" s="27">
        <f t="shared" si="9"/>
        <v>0</v>
      </c>
      <c r="N11" s="26">
        <f t="shared" si="10"/>
        <v>0</v>
      </c>
      <c r="O11" s="28">
        <f t="shared" si="11"/>
        <v>0</v>
      </c>
      <c r="P11" s="26">
        <f t="shared" si="12"/>
        <v>0</v>
      </c>
      <c r="Q11" s="29">
        <f t="shared" si="13"/>
        <v>0</v>
      </c>
      <c r="R11" s="30" t="str">
        <f t="shared" si="14"/>
        <v/>
      </c>
      <c r="S11" s="30" t="str">
        <f t="shared" si="15"/>
        <v/>
      </c>
    </row>
    <row r="12" spans="2:19" ht="25.5" customHeight="1">
      <c r="B12" s="31"/>
      <c r="C12" s="23" t="str">
        <f t="shared" si="0"/>
        <v/>
      </c>
      <c r="D12" s="24"/>
      <c r="E12" s="23" t="str">
        <f t="shared" si="1"/>
        <v/>
      </c>
      <c r="F12" s="25">
        <f t="shared" si="2"/>
        <v>0</v>
      </c>
      <c r="G12" s="23" t="str">
        <f t="shared" si="3"/>
        <v/>
      </c>
      <c r="H12" s="23" t="str">
        <f t="shared" si="4"/>
        <v/>
      </c>
      <c r="I12" s="26">
        <f t="shared" si="5"/>
        <v>0</v>
      </c>
      <c r="J12" s="23" t="str">
        <f t="shared" si="6"/>
        <v/>
      </c>
      <c r="K12" s="27">
        <f t="shared" si="7"/>
        <v>0</v>
      </c>
      <c r="L12" s="23" t="str">
        <f t="shared" si="8"/>
        <v/>
      </c>
      <c r="M12" s="27">
        <f t="shared" si="9"/>
        <v>0</v>
      </c>
      <c r="N12" s="26">
        <f t="shared" si="10"/>
        <v>0</v>
      </c>
      <c r="O12" s="28">
        <f t="shared" si="11"/>
        <v>0</v>
      </c>
      <c r="P12" s="26">
        <f t="shared" si="12"/>
        <v>0</v>
      </c>
      <c r="Q12" s="29">
        <f t="shared" si="13"/>
        <v>0</v>
      </c>
      <c r="R12" s="30" t="str">
        <f t="shared" si="14"/>
        <v/>
      </c>
      <c r="S12" s="30" t="str">
        <f t="shared" si="15"/>
        <v/>
      </c>
    </row>
    <row r="13" spans="2:19" ht="25.5" customHeight="1">
      <c r="B13" s="31"/>
      <c r="C13" s="23" t="str">
        <f t="shared" si="0"/>
        <v/>
      </c>
      <c r="D13" s="24"/>
      <c r="E13" s="23" t="str">
        <f t="shared" si="1"/>
        <v/>
      </c>
      <c r="F13" s="25">
        <f t="shared" si="2"/>
        <v>0</v>
      </c>
      <c r="G13" s="23" t="str">
        <f t="shared" si="3"/>
        <v/>
      </c>
      <c r="H13" s="23" t="str">
        <f t="shared" si="4"/>
        <v/>
      </c>
      <c r="I13" s="26">
        <f t="shared" si="5"/>
        <v>0</v>
      </c>
      <c r="J13" s="23" t="str">
        <f t="shared" si="6"/>
        <v/>
      </c>
      <c r="K13" s="27">
        <f t="shared" si="7"/>
        <v>0</v>
      </c>
      <c r="L13" s="23" t="str">
        <f t="shared" si="8"/>
        <v/>
      </c>
      <c r="M13" s="27">
        <f t="shared" si="9"/>
        <v>0</v>
      </c>
      <c r="N13" s="26">
        <f t="shared" si="10"/>
        <v>0</v>
      </c>
      <c r="O13" s="28">
        <f t="shared" si="11"/>
        <v>0</v>
      </c>
      <c r="P13" s="26">
        <f t="shared" si="12"/>
        <v>0</v>
      </c>
      <c r="Q13" s="29">
        <f t="shared" si="13"/>
        <v>0</v>
      </c>
      <c r="R13" s="30" t="str">
        <f t="shared" si="14"/>
        <v/>
      </c>
      <c r="S13" s="30" t="str">
        <f t="shared" si="15"/>
        <v/>
      </c>
    </row>
    <row r="14" spans="2:19" ht="25.5" customHeight="1">
      <c r="B14" s="31"/>
      <c r="C14" s="23" t="str">
        <f t="shared" si="0"/>
        <v/>
      </c>
      <c r="D14" s="24"/>
      <c r="E14" s="23" t="str">
        <f t="shared" si="1"/>
        <v/>
      </c>
      <c r="F14" s="25">
        <f t="shared" si="2"/>
        <v>0</v>
      </c>
      <c r="G14" s="23" t="str">
        <f t="shared" si="3"/>
        <v/>
      </c>
      <c r="H14" s="23" t="str">
        <f t="shared" si="4"/>
        <v/>
      </c>
      <c r="I14" s="26">
        <f t="shared" si="5"/>
        <v>0</v>
      </c>
      <c r="J14" s="23" t="str">
        <f t="shared" si="6"/>
        <v/>
      </c>
      <c r="K14" s="27">
        <f t="shared" si="7"/>
        <v>0</v>
      </c>
      <c r="L14" s="23" t="str">
        <f t="shared" si="8"/>
        <v/>
      </c>
      <c r="M14" s="27">
        <f t="shared" si="9"/>
        <v>0</v>
      </c>
      <c r="N14" s="26">
        <f t="shared" si="10"/>
        <v>0</v>
      </c>
      <c r="O14" s="28">
        <f t="shared" si="11"/>
        <v>0</v>
      </c>
      <c r="P14" s="26">
        <f t="shared" si="12"/>
        <v>0</v>
      </c>
      <c r="Q14" s="29">
        <f t="shared" si="13"/>
        <v>0</v>
      </c>
      <c r="R14" s="30" t="str">
        <f t="shared" si="14"/>
        <v/>
      </c>
      <c r="S14" s="30" t="str">
        <f t="shared" si="15"/>
        <v/>
      </c>
    </row>
    <row r="15" spans="2:19">
      <c r="B15" s="5" t="s">
        <v>101</v>
      </c>
      <c r="N15" s="32">
        <f>SUM(N8:N14)</f>
        <v>50216.059200000003</v>
      </c>
      <c r="O15" s="33">
        <f>SUM(O8:O14)</f>
        <v>50.216059200000004</v>
      </c>
      <c r="P15" s="32">
        <f>SUM(P8:P14)</f>
        <v>50223.093119999998</v>
      </c>
      <c r="Q15" s="33">
        <f>SUM(Q8:Q14)</f>
        <v>50.223093120000001</v>
      </c>
    </row>
    <row r="17" spans="2:2">
      <c r="B17" s="10" t="s">
        <v>102</v>
      </c>
    </row>
    <row r="18" spans="2:2">
      <c r="B18" s="10" t="s">
        <v>103</v>
      </c>
    </row>
    <row r="19" spans="2:2">
      <c r="B19" s="10" t="s">
        <v>104</v>
      </c>
    </row>
    <row r="20" spans="2:2">
      <c r="B20" s="34" t="s">
        <v>105</v>
      </c>
    </row>
  </sheetData>
  <mergeCells count="5">
    <mergeCell ref="B6:D6"/>
    <mergeCell ref="J6:K6"/>
    <mergeCell ref="L6:M6"/>
    <mergeCell ref="N6:O6"/>
    <mergeCell ref="P6:Q6"/>
  </mergeCells>
  <phoneticPr fontId="29" type="noConversion"/>
  <pageMargins left="0.75" right="0.75" top="1" bottom="1" header="0.511811023622047" footer="0.511811023622047"/>
  <pageSetup paperSize="9" scale="46" fitToHeight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18"/>
  <sheetViews>
    <sheetView zoomScaleNormal="100" workbookViewId="0"/>
  </sheetViews>
  <sheetFormatPr defaultColWidth="8.6640625" defaultRowHeight="14.4"/>
  <cols>
    <col min="1" max="1" width="3" customWidth="1"/>
    <col min="2" max="2" width="45.109375" customWidth="1"/>
    <col min="3" max="3" width="16" customWidth="1"/>
    <col min="4" max="4" width="18" customWidth="1"/>
    <col min="5" max="6" width="16" customWidth="1"/>
  </cols>
  <sheetData>
    <row r="2" spans="2:6" ht="17.399999999999999">
      <c r="B2" s="18" t="s">
        <v>110</v>
      </c>
    </row>
    <row r="3" spans="2:6">
      <c r="B3" s="35" t="s">
        <v>111</v>
      </c>
    </row>
    <row r="6" spans="2:6" ht="30" customHeight="1">
      <c r="B6" s="12" t="s">
        <v>112</v>
      </c>
      <c r="C6" s="12" t="s">
        <v>45</v>
      </c>
      <c r="D6" s="12" t="s">
        <v>113</v>
      </c>
      <c r="E6" s="12" t="s">
        <v>114</v>
      </c>
      <c r="F6" s="12" t="s">
        <v>115</v>
      </c>
    </row>
    <row r="7" spans="2:6">
      <c r="B7" s="36" t="s">
        <v>116</v>
      </c>
      <c r="C7" s="23" t="s">
        <v>117</v>
      </c>
      <c r="D7" s="24">
        <v>1200000</v>
      </c>
      <c r="E7" s="23">
        <v>0.38440000000000002</v>
      </c>
      <c r="F7" s="37">
        <f>D7/1000*E7</f>
        <v>461.28000000000003</v>
      </c>
    </row>
    <row r="8" spans="2:6">
      <c r="B8" s="38" t="s">
        <v>118</v>
      </c>
      <c r="C8" s="23" t="s">
        <v>117</v>
      </c>
      <c r="D8" s="39">
        <f>D7</f>
        <v>1200000</v>
      </c>
      <c r="E8" s="23">
        <v>0.4173</v>
      </c>
      <c r="F8" s="37">
        <f>D8/1000*E8</f>
        <v>500.76</v>
      </c>
    </row>
    <row r="10" spans="2:6">
      <c r="B10" s="38" t="s">
        <v>119</v>
      </c>
      <c r="C10" s="23" t="s">
        <v>117</v>
      </c>
      <c r="D10" s="24">
        <v>0</v>
      </c>
      <c r="E10" s="23">
        <v>0</v>
      </c>
      <c r="F10" s="37">
        <v>0</v>
      </c>
    </row>
    <row r="12" spans="2:6">
      <c r="B12" s="40" t="s">
        <v>120</v>
      </c>
      <c r="C12" s="41"/>
      <c r="D12" s="41"/>
      <c r="E12" s="41"/>
      <c r="F12" s="42">
        <f>F7</f>
        <v>461.28000000000003</v>
      </c>
    </row>
    <row r="13" spans="2:6">
      <c r="B13" s="43" t="s">
        <v>121</v>
      </c>
      <c r="C13" s="41"/>
      <c r="D13" s="41"/>
      <c r="E13" s="41"/>
      <c r="F13" s="37">
        <f>MAX(F8-D10/1000*E7,0)</f>
        <v>500.76</v>
      </c>
    </row>
    <row r="16" spans="2:6" ht="15" customHeight="1">
      <c r="B16" s="55" t="s">
        <v>122</v>
      </c>
      <c r="C16" s="55"/>
      <c r="D16" s="55"/>
      <c r="E16" s="55"/>
      <c r="F16" s="55"/>
    </row>
    <row r="17" spans="2:6">
      <c r="B17" s="55"/>
      <c r="C17" s="55"/>
      <c r="D17" s="55"/>
      <c r="E17" s="55"/>
      <c r="F17" s="55"/>
    </row>
    <row r="18" spans="2:6">
      <c r="B18" s="55"/>
      <c r="C18" s="55"/>
      <c r="D18" s="55"/>
      <c r="E18" s="55"/>
      <c r="F18" s="55"/>
    </row>
  </sheetData>
  <mergeCells count="1">
    <mergeCell ref="B16:F18"/>
  </mergeCells>
  <phoneticPr fontId="29" type="noConversion"/>
  <pageMargins left="0.75" right="0.75" top="1" bottom="1" header="0.511811023622047" footer="0.511811023622047"/>
  <pageSetup paperSize="9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E18"/>
  <sheetViews>
    <sheetView zoomScaleNormal="100" workbookViewId="0"/>
  </sheetViews>
  <sheetFormatPr defaultColWidth="8.6640625" defaultRowHeight="14.4"/>
  <cols>
    <col min="1" max="1" width="3" customWidth="1"/>
    <col min="2" max="2" width="22" customWidth="1"/>
    <col min="3" max="3" width="20" customWidth="1"/>
    <col min="4" max="4" width="18" customWidth="1"/>
    <col min="5" max="5" width="30" customWidth="1"/>
  </cols>
  <sheetData>
    <row r="2" spans="2:5" ht="17.399999999999999">
      <c r="B2" s="18" t="s">
        <v>123</v>
      </c>
    </row>
    <row r="3" spans="2:5">
      <c r="B3" s="10" t="s">
        <v>124</v>
      </c>
    </row>
    <row r="6" spans="2:5">
      <c r="B6" s="12" t="s">
        <v>125</v>
      </c>
      <c r="C6" s="12" t="s">
        <v>126</v>
      </c>
      <c r="D6" s="12" t="s">
        <v>115</v>
      </c>
      <c r="E6" s="12" t="s">
        <v>127</v>
      </c>
    </row>
    <row r="7" spans="2:5">
      <c r="B7" s="43" t="s">
        <v>128</v>
      </c>
      <c r="C7" s="38" t="s">
        <v>129</v>
      </c>
      <c r="D7" s="44">
        <f>③Scope1_고정연소!O16</f>
        <v>209.5529904</v>
      </c>
      <c r="E7" s="45" t="s">
        <v>130</v>
      </c>
    </row>
    <row r="8" spans="2:5">
      <c r="B8" s="43" t="s">
        <v>128</v>
      </c>
      <c r="C8" s="38" t="s">
        <v>131</v>
      </c>
      <c r="D8" s="44">
        <f>④Scope1_이동연소!O15</f>
        <v>50.216059200000004</v>
      </c>
      <c r="E8" s="45" t="s">
        <v>132</v>
      </c>
    </row>
    <row r="9" spans="2:5">
      <c r="B9" s="43" t="s">
        <v>133</v>
      </c>
      <c r="C9" s="38" t="s">
        <v>134</v>
      </c>
      <c r="D9" s="44">
        <f>⑤Scope2_전력!F12</f>
        <v>461.28000000000003</v>
      </c>
      <c r="E9" s="45" t="s">
        <v>135</v>
      </c>
    </row>
    <row r="10" spans="2:5">
      <c r="B10" s="46" t="s">
        <v>101</v>
      </c>
      <c r="C10" s="41"/>
      <c r="D10" s="47">
        <f>SUM(D7:D9)</f>
        <v>721.04904959999999</v>
      </c>
      <c r="E10" s="41"/>
    </row>
    <row r="13" spans="2:5">
      <c r="B13" s="7" t="s">
        <v>136</v>
      </c>
      <c r="D13" s="48">
        <f>⑤Scope2_전력!F13</f>
        <v>500.76</v>
      </c>
    </row>
    <row r="15" spans="2:5">
      <c r="B15" s="6" t="s">
        <v>137</v>
      </c>
    </row>
    <row r="16" spans="2:5">
      <c r="B16" s="3" t="s">
        <v>138</v>
      </c>
      <c r="D16" s="48">
        <f>③Scope1_고정연소!Q16</f>
        <v>209.56978164</v>
      </c>
    </row>
    <row r="17" spans="2:4">
      <c r="B17" s="3" t="s">
        <v>139</v>
      </c>
      <c r="D17" s="48">
        <f>④Scope1_이동연소!Q15</f>
        <v>50.223093120000001</v>
      </c>
    </row>
    <row r="18" spans="2:4">
      <c r="B18" s="49" t="s">
        <v>140</v>
      </c>
      <c r="D18" s="50">
        <f>(D16+D17)-(D7+D8)</f>
        <v>2.3825160000001233E-2</v>
      </c>
    </row>
  </sheetData>
  <phoneticPr fontId="29" type="noConversion"/>
  <pageMargins left="0.75" right="0.75" top="1" bottom="1" header="0.511811023622047" footer="0.511811023622047"/>
  <pageSetup paperSize="9" scale="94" fitToHeight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E21"/>
  <sheetViews>
    <sheetView tabSelected="1" zoomScaleNormal="100" workbookViewId="0"/>
  </sheetViews>
  <sheetFormatPr defaultColWidth="8.6640625" defaultRowHeight="14.4"/>
  <cols>
    <col min="1" max="1" width="3" customWidth="1"/>
    <col min="2" max="2" width="20" customWidth="1"/>
    <col min="3" max="3" width="61" customWidth="1"/>
    <col min="4" max="4" width="29" customWidth="1"/>
  </cols>
  <sheetData>
    <row r="2" spans="2:5" ht="17.399999999999999">
      <c r="B2" s="1" t="s">
        <v>141</v>
      </c>
    </row>
    <row r="3" spans="2:5">
      <c r="B3" s="10" t="s">
        <v>142</v>
      </c>
    </row>
    <row r="6" spans="2:5" ht="19.5" customHeight="1">
      <c r="B6" s="12" t="s">
        <v>143</v>
      </c>
      <c r="C6" s="12" t="s">
        <v>144</v>
      </c>
      <c r="D6" s="12" t="s">
        <v>145</v>
      </c>
    </row>
    <row r="7" spans="2:5" ht="33.75" customHeight="1">
      <c r="B7" s="36" t="s">
        <v>146</v>
      </c>
      <c r="C7" s="51" t="s">
        <v>147</v>
      </c>
      <c r="D7" s="52" t="s">
        <v>148</v>
      </c>
    </row>
    <row r="8" spans="2:5" ht="33.75" customHeight="1">
      <c r="B8" s="36" t="s">
        <v>149</v>
      </c>
      <c r="C8" s="51" t="s">
        <v>150</v>
      </c>
      <c r="D8" s="52" t="s">
        <v>151</v>
      </c>
    </row>
    <row r="9" spans="2:5" ht="33.75" customHeight="1">
      <c r="B9" s="36" t="s">
        <v>152</v>
      </c>
      <c r="C9" s="51" t="s">
        <v>153</v>
      </c>
      <c r="D9" s="52" t="s">
        <v>154</v>
      </c>
    </row>
    <row r="10" spans="2:5" ht="33.75" customHeight="1">
      <c r="B10" s="36" t="s">
        <v>155</v>
      </c>
      <c r="C10" s="53" t="s">
        <v>156</v>
      </c>
      <c r="D10" s="52" t="s">
        <v>157</v>
      </c>
    </row>
    <row r="11" spans="2:5" ht="33.75" customHeight="1">
      <c r="B11" s="36" t="s">
        <v>158</v>
      </c>
      <c r="C11" s="51" t="s">
        <v>159</v>
      </c>
      <c r="D11" s="52" t="s">
        <v>160</v>
      </c>
    </row>
    <row r="12" spans="2:5" ht="33.75" customHeight="1">
      <c r="B12" s="36" t="s">
        <v>161</v>
      </c>
      <c r="C12" s="51" t="s">
        <v>162</v>
      </c>
      <c r="D12" s="52" t="s">
        <v>163</v>
      </c>
    </row>
    <row r="15" spans="2:5">
      <c r="B15" s="54" t="s">
        <v>164</v>
      </c>
    </row>
    <row r="16" spans="2:5">
      <c r="B16" s="12" t="s">
        <v>165</v>
      </c>
      <c r="C16" s="12" t="s">
        <v>166</v>
      </c>
      <c r="D16" s="12" t="s">
        <v>167</v>
      </c>
      <c r="E16" s="12" t="s">
        <v>168</v>
      </c>
    </row>
    <row r="17" spans="2:5">
      <c r="B17" s="31"/>
      <c r="C17" s="31"/>
      <c r="D17" s="31"/>
      <c r="E17" s="31"/>
    </row>
    <row r="18" spans="2:5">
      <c r="B18" s="31"/>
      <c r="C18" s="31"/>
      <c r="D18" s="31"/>
      <c r="E18" s="31"/>
    </row>
    <row r="19" spans="2:5">
      <c r="B19" s="31"/>
      <c r="C19" s="31"/>
      <c r="D19" s="31"/>
      <c r="E19" s="31"/>
    </row>
    <row r="20" spans="2:5">
      <c r="B20" s="31"/>
      <c r="C20" s="31"/>
      <c r="D20" s="31"/>
      <c r="E20" s="31"/>
    </row>
    <row r="21" spans="2:5">
      <c r="B21" s="31"/>
      <c r="C21" s="31"/>
      <c r="D21" s="31"/>
      <c r="E21" s="31"/>
    </row>
  </sheetData>
  <phoneticPr fontId="29" type="noConversion"/>
  <pageMargins left="0.75" right="0.75" top="1" bottom="1" header="0.511811023622047" footer="0.511811023622047"/>
  <pageSetup paperSize="9" scale="72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</vt:i4>
      </vt:variant>
    </vt:vector>
  </HeadingPairs>
  <TitlesOfParts>
    <vt:vector size="8" baseType="lpstr">
      <vt:lpstr>①사용안내_범례</vt:lpstr>
      <vt:lpstr>②배출계수_참조표</vt:lpstr>
      <vt:lpstr>③Scope1_고정연소</vt:lpstr>
      <vt:lpstr>④Scope1_이동연소</vt:lpstr>
      <vt:lpstr>⑤Scope2_전력</vt:lpstr>
      <vt:lpstr>⑥종합요약</vt:lpstr>
      <vt:lpstr>⑦근거조항</vt:lpstr>
      <vt:lpstr>FUEL_TABLE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Main</cp:lastModifiedBy>
  <cp:revision>0</cp:revision>
  <cp:lastPrinted>2026-08-02T10:34:16Z</cp:lastPrinted>
  <dcterms:created xsi:type="dcterms:W3CDTF">2026-08-02T10:00:47Z</dcterms:created>
  <dcterms:modified xsi:type="dcterms:W3CDTF">2026-08-03T05:20:44Z</dcterms:modified>
  <dc:language>en-US</dc:language>
</cp:coreProperties>
</file>