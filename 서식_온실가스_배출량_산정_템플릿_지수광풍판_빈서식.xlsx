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1" activeTab="6" autoFilterDateGrouping="1"/>
  </bookViews>
  <sheets>
    <sheet name="⓪기본정보" sheetId="1" state="visible" r:id="rId1"/>
    <sheet name="①사용안내_범례" sheetId="2" state="visible" r:id="rId2"/>
    <sheet name="②배출계수_참조표" sheetId="3" state="visible" r:id="rId3"/>
    <sheet name="③Scope1_고정연소" sheetId="4" state="visible" r:id="rId4"/>
    <sheet name="④Scope1_이동연소" sheetId="5" state="visible" r:id="rId5"/>
    <sheet name="⑤Scope2_전력" sheetId="6" state="visible" r:id="rId6"/>
    <sheet name="⑥종합요약" sheetId="7" state="visible" r:id="rId7"/>
    <sheet name="⑦근거조항" sheetId="8" state="visible" r:id="rId8"/>
  </sheets>
  <definedNames>
    <definedName name="FUEL_TABLE">'②배출계수_참조표'!$B$7:$J$13</definedName>
    <definedName name="ROAD_TABLE">'②배출계수_참조표'!$B$26:$I$28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"/>
    <numFmt numFmtId="166" formatCode="0.000"/>
    <numFmt numFmtId="167" formatCode="\+0.000;\-0.000"/>
  </numFmts>
  <fonts count="36">
    <font>
      <name val="Calibri"/>
      <charset val="1"/>
      <family val="2"/>
      <color theme="1"/>
      <sz val="11"/>
    </font>
    <font>
      <name val="Arial"/>
      <family val="2"/>
      <sz val="10"/>
    </font>
    <font>
      <name val="Noto Sans CJK SC"/>
      <family val="2"/>
      <b val="1"/>
      <color rgb="FF1F3864"/>
      <sz val="14"/>
    </font>
    <font>
      <name val="Arial"/>
      <family val="2"/>
      <b val="1"/>
      <color rgb="FF1F3864"/>
      <sz val="14"/>
    </font>
    <font>
      <name val="Noto Sans CJK SC"/>
      <family val="2"/>
      <b val="1"/>
      <color rgb="FF0E7C7B"/>
      <sz val="11"/>
    </font>
    <font>
      <name val="Arial"/>
      <family val="2"/>
      <b val="1"/>
      <color rgb="FF0E7C7B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Noto Sans CJK SC"/>
      <family val="2"/>
      <i val="1"/>
      <color rgb="FF666666"/>
      <sz val="9"/>
    </font>
    <font>
      <name val="Arial"/>
      <family val="2"/>
      <i val="1"/>
      <color rgb="FF666666"/>
      <sz val="9"/>
    </font>
    <font>
      <name val="Noto Sans CJK SC"/>
      <family val="2"/>
      <b val="1"/>
      <i val="1"/>
      <color rgb="FFC00000"/>
      <sz val="9"/>
    </font>
    <font>
      <name val="Arial"/>
      <family val="2"/>
      <b val="1"/>
      <i val="1"/>
      <color rgb="FFC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b val="1"/>
      <color rgb="FF0E7C7B"/>
      <sz val="10"/>
    </font>
    <font>
      <name val="Arial"/>
      <family val="2"/>
      <b val="1"/>
      <color rgb="FF0E7C7B"/>
      <sz val="10"/>
    </font>
    <font>
      <name val="Arial"/>
      <family val="2"/>
      <b val="1"/>
      <color rgb="FFFFFFFF"/>
      <sz val="9"/>
    </font>
    <font>
      <name val="Noto Sans CJK SC"/>
      <family val="2"/>
      <b val="1"/>
      <color rgb="FFFFFFFF"/>
      <sz val="9"/>
    </font>
    <font>
      <name val="Noto Sans CJK SC"/>
      <family val="2"/>
      <color theme="1"/>
      <sz val="11"/>
    </font>
    <font>
      <name val="Arial"/>
      <family val="2"/>
      <b val="1"/>
      <color rgb="FF1F3864"/>
      <sz val="10"/>
    </font>
    <font>
      <name val="Arial"/>
      <family val="2"/>
      <sz val="9"/>
    </font>
    <font>
      <name val="Arial"/>
      <family val="2"/>
      <color rgb="FF008000"/>
      <sz val="11"/>
    </font>
    <font>
      <name val="Noto Sans CJK SC"/>
      <family val="2"/>
      <b val="1"/>
      <sz val="11"/>
    </font>
    <font>
      <name val="Arial"/>
      <family val="2"/>
      <b val="1"/>
      <sz val="11"/>
    </font>
    <font>
      <name val="Noto Sans CJK SC"/>
      <family val="2"/>
      <sz val="9"/>
    </font>
    <font>
      <name val="돋움"/>
      <charset val="129"/>
      <family val="3"/>
      <sz val="8"/>
    </font>
    <font>
      <b val="1"/>
      <sz val="9"/>
    </font>
    <font>
      <b val="1"/>
      <sz val="11"/>
    </font>
    <font>
      <b val="1"/>
      <sz val="16"/>
    </font>
    <font>
      <color rgb="00666666"/>
      <sz val="10"/>
    </font>
    <font>
      <b val="1"/>
    </font>
    <font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8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0" fontId="24" fillId="0" borderId="1" applyAlignment="1" pivotButton="0" quotePrefix="0" xfId="0">
      <alignment vertical="center" wrapText="1"/>
    </xf>
    <xf numFmtId="0" fontId="0" fillId="3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0" fontId="17" fillId="0" borderId="0" pivotButton="0" quotePrefix="0" xfId="0"/>
    <xf numFmtId="0" fontId="19" fillId="0" borderId="0" pivotButton="0" quotePrefix="0" xfId="0"/>
    <xf numFmtId="0" fontId="9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3" fontId="25" fillId="0" borderId="1" pivotButton="0" quotePrefix="0" xfId="0"/>
    <xf numFmtId="0" fontId="10" fillId="0" borderId="1" pivotButton="0" quotePrefix="0" xfId="0"/>
    <xf numFmtId="0" fontId="0" fillId="0" borderId="1" pivotButton="0" quotePrefix="0" xfId="0"/>
    <xf numFmtId="2" fontId="10" fillId="5" borderId="1" pivotButton="0" quotePrefix="0" xfId="0"/>
    <xf numFmtId="0" fontId="7" fillId="0" borderId="1" pivotButton="0" quotePrefix="0" xfId="0"/>
    <xf numFmtId="166" fontId="25" fillId="0" borderId="1" pivotButton="0" quotePrefix="0" xfId="0"/>
    <xf numFmtId="0" fontId="11" fillId="0" borderId="1" pivotButton="0" quotePrefix="0" xfId="0"/>
    <xf numFmtId="0" fontId="26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0" fontId="12" fillId="0" borderId="0" pivotButton="0" quotePrefix="0" xfId="0"/>
    <xf numFmtId="167" fontId="12" fillId="0" borderId="0" pivotButton="0" quotePrefix="0" xfId="0"/>
    <xf numFmtId="0" fontId="6" fillId="0" borderId="1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5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166" fontId="25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167" fontId="12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3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1" fillId="0" borderId="0" pivotButton="0" quotePrefix="0" xfId="0"/>
    <xf numFmtId="0" fontId="0" fillId="7" borderId="2" applyAlignment="1" pivotButton="0" quotePrefix="0" xfId="0">
      <alignment horizontal="left" vertical="center"/>
    </xf>
    <xf numFmtId="0" fontId="19" fillId="0" borderId="0" applyAlignment="1" pivotButton="0" quotePrefix="0" xfId="0">
      <alignment vertical="top" wrapText="1"/>
    </xf>
    <xf numFmtId="0" fontId="0" fillId="0" borderId="2" pivotButton="0" quotePrefix="0" xfId="0"/>
    <xf numFmtId="0" fontId="0" fillId="8" borderId="2" pivotButton="0" quotePrefix="0" xfId="0"/>
    <xf numFmtId="0" fontId="0" fillId="7" borderId="2" pivotButton="0" quotePrefix="0" xfId="0"/>
    <xf numFmtId="0" fontId="30" fillId="6" borderId="2" applyAlignment="1" pivotButton="0" quotePrefix="0" xfId="0">
      <alignment horizontal="center" vertical="center"/>
    </xf>
    <xf numFmtId="0" fontId="35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71" t="inlineStr">
        <is>
          <t>사찰 온실가스 배출량 산정서</t>
        </is>
      </c>
    </row>
    <row r="3">
      <c r="B3" s="72" t="inlineStr">
        <is>
          <t>불교탄소중립실천단 지수광풍 · 동하경영전략랩</t>
        </is>
      </c>
    </row>
    <row r="5">
      <c r="B5" s="73" t="inlineStr">
        <is>
          <t>사찰명</t>
        </is>
      </c>
      <c r="C5" s="74" t="n"/>
      <c r="D5" s="75" t="n"/>
      <c r="E5" s="75" t="n"/>
      <c r="F5" s="75" t="n"/>
      <c r="G5" s="76" t="n"/>
    </row>
    <row r="6">
      <c r="B6" s="73" t="inlineStr">
        <is>
          <t>도로명주소</t>
        </is>
      </c>
      <c r="C6" s="74" t="n"/>
      <c r="D6" s="75" t="n"/>
      <c r="E6" s="75" t="n"/>
      <c r="F6" s="75" t="n"/>
      <c r="G6" s="76" t="n"/>
    </row>
    <row r="7">
      <c r="B7" s="73" t="inlineStr">
        <is>
          <t>지번주소</t>
        </is>
      </c>
      <c r="C7" s="74" t="n"/>
      <c r="D7" s="75" t="n"/>
      <c r="E7" s="75" t="n"/>
      <c r="F7" s="75" t="n"/>
      <c r="G7" s="76" t="n"/>
    </row>
    <row r="8">
      <c r="B8" s="73" t="inlineStr">
        <is>
          <t>산정 연도</t>
        </is>
      </c>
      <c r="C8" s="74" t="n"/>
      <c r="D8" s="75" t="n"/>
      <c r="E8" s="75" t="n"/>
      <c r="F8" s="75" t="n"/>
      <c r="G8" s="76" t="n"/>
    </row>
    <row r="9">
      <c r="B9" s="73" t="inlineStr">
        <is>
          <t>작성일</t>
        </is>
      </c>
      <c r="C9" s="74" t="n"/>
      <c r="D9" s="75" t="n"/>
      <c r="E9" s="75" t="n"/>
      <c r="F9" s="75" t="n"/>
      <c r="G9" s="76" t="n"/>
    </row>
    <row r="10">
      <c r="B10" s="73" t="inlineStr">
        <is>
          <t>작성</t>
        </is>
      </c>
      <c r="C10" s="74" t="inlineStr">
        <is>
          <t>동하경영전략랩 · 불교탄소중립실천단 지수광풍</t>
        </is>
      </c>
      <c r="D10" s="75" t="n"/>
      <c r="E10" s="75" t="n"/>
      <c r="F10" s="75" t="n"/>
      <c r="G10" s="76" t="n"/>
    </row>
    <row r="11">
      <c r="B11" s="73" t="inlineStr">
        <is>
          <t>조회 근거</t>
        </is>
      </c>
      <c r="C11" s="74" t="inlineStr">
        <is>
          <t>⑧조회근거 시트 참조</t>
        </is>
      </c>
      <c r="D11" s="75" t="n"/>
      <c r="E11" s="75" t="n"/>
      <c r="F11" s="75" t="n"/>
      <c r="G11" s="76" t="n"/>
    </row>
    <row r="13">
      <c r="B13" s="77" t="inlineStr">
        <is>
          <t>이 산정은 위 지침의 산정방법을 준용한 자발적 산정이며 할당대상업체의 명세서가 아닙니다. 자세한 범위는 ⑦ 참조.</t>
        </is>
      </c>
    </row>
  </sheetData>
  <mergeCells count="7">
    <mergeCell ref="C7:G7"/>
    <mergeCell ref="C6:G6"/>
    <mergeCell ref="C10:G10"/>
    <mergeCell ref="C11:G11"/>
    <mergeCell ref="C5:G5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3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8" customWidth="1" min="2" max="2"/>
    <col width="60" customWidth="1" min="3" max="3"/>
    <col width="20" customWidth="1" min="4" max="4"/>
  </cols>
  <sheetData>
    <row r="2" ht="17.4" customHeight="1">
      <c r="B2" s="1" t="inlineStr">
        <is>
          <t>온실가스 배출량 산정 실무용 템플릿 (진단·명세서용)</t>
        </is>
      </c>
    </row>
    <row r="3">
      <c r="B3" s="2" t="inlineStr">
        <is>
          <t>경유·LNG·LPG 등 연료는 [활동량 → 발열량 → TJ환산 → 배출계수 → 산화계수] 5단계를 모두 표시합니다</t>
        </is>
      </c>
    </row>
    <row r="5">
      <c r="B5" s="2" t="inlineStr">
        <is>
          <t>■ 이 템플릿을 만든 이유</t>
        </is>
      </c>
    </row>
    <row r="6">
      <c r="B6" s="3" t="inlineStr">
        <is>
          <t>기존 시뮬레이터(0605, 0607 등)는 “활동량 × 통합배출계수(tCO2eq/단위)” 한 줄로 계산되어 있어,</t>
        </is>
      </c>
    </row>
    <row r="7">
      <c r="B7" s="3" t="inlineStr">
        <is>
          <t>발열량이 어디에 반영되었는지 추적할 수 없고, 값의 출처(IPCC Tier1 vs 국가고유 Tier2)도 섞여 있었습니다.</t>
        </is>
      </c>
    </row>
    <row r="8">
      <c r="B8" s="3" t="inlineStr">
        <is>
          <t>이 템플릿은 「온실가스 배출권거래제의 배출량 보고 및 인증에 관한 지침」(환경부고시 환경부고시 제2025-64호)</t>
        </is>
      </c>
    </row>
    <row r="9">
      <c r="B9" s="3" t="inlineStr">
        <is>
          <t>제15조·제24조·별표6이 요구하는 대로 발열량·배출계수·산화계수를 각각 별도 항목으로 분리해</t>
        </is>
      </c>
    </row>
    <row r="10">
      <c r="B10" s="3" t="inlineStr">
        <is>
          <t>출처를 추적할 수 있도록 재구성했습니다. 사찰 탄소중립 진단에 활용 가능합니다.</t>
        </is>
      </c>
    </row>
    <row r="12">
      <c r="B12" s="2" t="inlineStr">
        <is>
          <t>■ 시트 구성</t>
        </is>
      </c>
    </row>
    <row r="13">
      <c r="B13" s="4" t="inlineStr">
        <is>
          <t>시트명</t>
        </is>
      </c>
      <c r="C13" s="4" t="inlineStr">
        <is>
          <t>내용</t>
        </is>
      </c>
    </row>
    <row r="14">
      <c r="B14" s="5" t="inlineStr">
        <is>
          <t>①사용안내_범례</t>
        </is>
      </c>
      <c r="C14" s="3" t="inlineStr">
        <is>
          <t>현재 시트 — 구조 안내, 색상 규칙, 근거 조항</t>
        </is>
      </c>
    </row>
    <row r="15">
      <c r="B15" s="5" t="inlineStr">
        <is>
          <t>②배출계수_참조표</t>
        </is>
      </c>
      <c r="C15" s="3" t="inlineStr">
        <is>
          <t>별표10·11·12 국가고유값 — 회색(수정불가), 모든 계산의 기준 출처</t>
        </is>
      </c>
    </row>
    <row r="16">
      <c r="B16" s="6" t="inlineStr">
        <is>
          <t>③Scope1_고정연소</t>
        </is>
      </c>
      <c r="C16" s="3" t="inlineStr">
        <is>
          <t>보일러·화목 등 고정연소 — 노란 셀에 활동량만 입력, 5단계 자동계산</t>
        </is>
      </c>
    </row>
    <row r="17">
      <c r="B17" s="6" t="inlineStr">
        <is>
          <t>④Scope1_이동연소</t>
        </is>
      </c>
      <c r="C17" s="3" t="inlineStr">
        <is>
          <t>차량연료 — 노란 셀에 활동량만 입력, 5단계 자동계산</t>
        </is>
      </c>
    </row>
    <row r="18">
      <c r="B18" s="6" t="inlineStr">
        <is>
          <t>⑤Scope2_전력</t>
        </is>
      </c>
      <c r="C18" s="3" t="inlineStr">
        <is>
          <t>구매전력 — LB(발전단)·MB(소비단) 병행 산정</t>
        </is>
      </c>
    </row>
    <row r="19">
      <c r="B19" s="5" t="inlineStr">
        <is>
          <t>⑥종합요약</t>
        </is>
      </c>
      <c r="C19" s="7" t="inlineStr">
        <is>
          <t>Scope1+2 합계, Tier 적용현황 표</t>
        </is>
      </c>
    </row>
    <row r="20">
      <c r="B20" s="5" t="inlineStr">
        <is>
          <t>⑦근거조항</t>
        </is>
      </c>
      <c r="C20" s="3" t="inlineStr">
        <is>
          <t>제9조·제11조·제14조·제15조·제22조 요약(감사·검증 대응용)</t>
        </is>
      </c>
    </row>
    <row r="23">
      <c r="B23" s="2" t="inlineStr">
        <is>
          <t>■ 색상 규칙</t>
        </is>
      </c>
    </row>
    <row r="24">
      <c r="B24" s="8" t="inlineStr">
        <is>
          <t>노란색 셀</t>
        </is>
      </c>
      <c r="C24" s="3" t="inlineStr">
        <is>
          <t>직접 입력 — 활동량(연료·전력 사용량)만 입력. 나머지는 자동계산됩니다</t>
        </is>
      </c>
    </row>
    <row r="25">
      <c r="B25" s="9" t="inlineStr">
        <is>
          <t>회색 셀</t>
        </is>
      </c>
      <c r="C25" s="3" t="inlineStr">
        <is>
          <t>참조표 고정값(발열량·배출계수·산화계수) — 절대 수정하지 마세요</t>
        </is>
      </c>
    </row>
    <row r="26">
      <c r="B26" s="5" t="inlineStr">
        <is>
          <t>검은색 텍스트</t>
        </is>
      </c>
      <c r="C26" s="3" t="inlineStr">
        <is>
          <t>수식으로 자동계산되는 결과</t>
        </is>
      </c>
    </row>
    <row r="27">
      <c r="B27" s="5" t="inlineStr">
        <is>
          <t>초록색 텍스트</t>
        </is>
      </c>
      <c r="C27" s="3" t="inlineStr">
        <is>
          <t>다른 시트를 참조하는 링크 값</t>
        </is>
      </c>
    </row>
    <row r="30">
      <c r="B30" s="2" t="inlineStr">
        <is>
          <t>■ 핵심 원칙 (지난 컨설팅 확인사항 반영)</t>
        </is>
      </c>
    </row>
    <row r="31">
      <c r="B31" s="7" t="inlineStr">
        <is>
          <t>1. Tier(산정등급)는 계산 편의로 선택하는 것이 아니라 배출규모(별표5)로 강제됩니다 (제11조①)</t>
        </is>
      </c>
    </row>
    <row r="32">
      <c r="B32" s="7" t="inlineStr">
        <is>
          <t>2. Tier 그룹 판정은 기업 전체가 아니라 개별 배출시설·배출활동 단위로 합니다 (제9조③·제11조①)</t>
        </is>
      </c>
    </row>
    <row r="33">
      <c r="B33" s="7" t="inlineStr">
        <is>
          <t>3. 발열량·배출계수는 같은 Tier 세트로 통일해야 합니다 — Tier1은 별표10+별표11, Tier2는 별표12 (제15조)</t>
        </is>
      </c>
    </row>
    <row r="34">
      <c r="B34" s="7" t="inlineStr">
        <is>
          <t>4. Tier1은 국가고유 계수 미고시 시에만 예외 사용 가능합니다 (제22조) — “계산이 쉬워서”는 사유가 아닙니다</t>
        </is>
      </c>
    </row>
    <row r="35">
      <c r="B35" s="7" t="inlineStr">
        <is>
          <t>5. 본 템플릿은 원칙적으로 Tier2(국가고유, 별표12)를 기본값으로 사용합니다</t>
        </is>
      </c>
    </row>
    <row r="38" ht="30" customHeight="1">
      <c r="B38" s="55" t="inlineStr">
        <is>
          <t>※ 본 템플릿의 참조표 수치는 환경부고시 환경부고시 제2025-64호(2025.4.11. 시행) 별표10·11·12 기준이며, 실제 사용 시 온실가스종합정보센터(gir.go.kr)에서 최신 고시 여부를 반드시 재확인하시기 바랍니다.</t>
        </is>
      </c>
    </row>
  </sheetData>
  <mergeCells count="1">
    <mergeCell ref="B38:D38"/>
  </mergeCells>
  <pageMargins left="0.7480314960629921" right="0.7480314960629921" top="0.984251968503937" bottom="0.984251968503937" header="0.5118110236220472" footer="0.5118110236220472"/>
  <pageSetup orientation="portrait" paperSize="9" scale="79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30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6" customWidth="1" min="2" max="2"/>
    <col width="10" customWidth="1" min="3" max="3"/>
    <col width="14" customWidth="1" min="4" max="4"/>
    <col width="16" customWidth="1" min="5" max="7"/>
    <col width="12" customWidth="1" min="8" max="8"/>
    <col width="34" customWidth="1" min="9" max="9"/>
    <col width="14" customWidth="1" min="10" max="10"/>
  </cols>
  <sheetData>
    <row r="2" ht="17.4" customHeight="1">
      <c r="B2" s="1" t="inlineStr">
        <is>
          <t>국가 고유 배출계수·발열량 참조표 (별표10·11·12)</t>
        </is>
      </c>
    </row>
    <row r="3">
      <c r="B3" s="10" t="inlineStr">
        <is>
          <t>출처: 「온실가스 배출권거래제의 배출량 보고 및 인증에 관한 지침」(환경부고시 환경부고시 제2025-64호, 2025.4.11. 시행) 별표10·11·12</t>
        </is>
      </c>
    </row>
    <row r="4">
      <c r="B4" s="11" t="inlineStr">
        <is>
          <t>이 표의 값은 모두 회색(수정 금지)입니다. Scope1 시트는 이 표를 자동으로 참조합니다.</t>
        </is>
      </c>
    </row>
    <row r="6" ht="31.5" customHeight="1">
      <c r="B6" s="12" t="inlineStr">
        <is>
          <t>연료명</t>
        </is>
      </c>
      <c r="C6" s="12" t="inlineStr">
        <is>
          <t>단위</t>
        </is>
      </c>
      <c r="D6" s="12" t="inlineStr">
        <is>
          <t>순발열량
(MJ/단위)</t>
        </is>
      </c>
      <c r="E6" s="13" t="inlineStr">
        <is>
          <t>CO2배출계수
(kgCO2/TJ)</t>
        </is>
      </c>
      <c r="F6" s="13" t="inlineStr">
        <is>
          <t>CH4배출계수
(kgCH4/TJ)*</t>
        </is>
      </c>
      <c r="G6" s="13" t="inlineStr">
        <is>
          <t>N2O배출계수
(kgN2O/TJ)*</t>
        </is>
      </c>
      <c r="H6" s="12" t="inlineStr">
        <is>
          <t>산화계수
(CO2용)</t>
        </is>
      </c>
      <c r="I6" s="12" t="inlineStr">
        <is>
          <t>근거 별표</t>
        </is>
      </c>
      <c r="J6" s="78" t="inlineStr">
        <is>
          <t>생물기원 CO2계수
(kgCO2/TJ, 합계 제외)</t>
        </is>
      </c>
    </row>
    <row r="7">
      <c r="B7" s="14" t="inlineStr">
        <is>
          <t>경유(Diesel)</t>
        </is>
      </c>
      <c r="C7" s="15" t="inlineStr">
        <is>
          <t>L</t>
        </is>
      </c>
      <c r="D7" s="15" t="n">
        <v>35.2</v>
      </c>
      <c r="E7" s="15" t="n">
        <v>73200</v>
      </c>
      <c r="F7" s="15" t="n">
        <v>10</v>
      </c>
      <c r="G7" s="15" t="n">
        <v>0.6</v>
      </c>
      <c r="H7" s="15" t="n">
        <v>0.99</v>
      </c>
      <c r="I7" s="16" t="inlineStr">
        <is>
          <t>별표12①②, 별표10(상업·공공), 별표6 산화계수</t>
        </is>
      </c>
      <c r="J7" s="81" t="n">
        <v>0</v>
      </c>
    </row>
    <row r="8">
      <c r="B8" s="14" t="inlineStr">
        <is>
          <t>등유(Kerosene)</t>
        </is>
      </c>
      <c r="C8" s="15" t="inlineStr">
        <is>
          <t>L</t>
        </is>
      </c>
      <c r="D8" s="16" t="n">
        <v>34.2</v>
      </c>
      <c r="E8" s="16" t="n">
        <v>73200</v>
      </c>
      <c r="F8" s="16" t="n">
        <v>10</v>
      </c>
      <c r="G8" s="16" t="n">
        <v>0.6</v>
      </c>
      <c r="H8" s="16" t="n">
        <v>0.99</v>
      </c>
      <c r="I8" s="16" t="inlineStr">
        <is>
          <t>별표12①②, 별표10(상업·공공), 별표6 산화계수</t>
        </is>
      </c>
      <c r="J8" s="81" t="n">
        <v>0</v>
      </c>
    </row>
    <row r="9">
      <c r="B9" s="14" t="inlineStr">
        <is>
          <t>휘발유(Gasoline)</t>
        </is>
      </c>
      <c r="C9" s="15" t="inlineStr">
        <is>
          <t>L</t>
        </is>
      </c>
      <c r="D9" s="16" t="n">
        <v>30.4</v>
      </c>
      <c r="E9" s="16" t="n">
        <v>71600</v>
      </c>
      <c r="F9" s="16" t="n">
        <v>3</v>
      </c>
      <c r="G9" s="16" t="n">
        <v>0.6</v>
      </c>
      <c r="H9" s="16" t="n">
        <v>0.99</v>
      </c>
      <c r="I9" s="16" t="inlineStr">
        <is>
          <t>별표12①②, 별표10(상업·공공), 별표6 산화계수</t>
        </is>
      </c>
      <c r="J9" s="81" t="n">
        <v>0</v>
      </c>
    </row>
    <row r="10">
      <c r="B10" s="17" t="inlineStr">
        <is>
          <t>LPG-프로판(LPG1호)</t>
        </is>
      </c>
      <c r="C10" s="15" t="inlineStr">
        <is>
          <t>kg</t>
        </is>
      </c>
      <c r="D10" s="16" t="n">
        <v>46.3</v>
      </c>
      <c r="E10" s="16" t="n">
        <v>64600</v>
      </c>
      <c r="F10" s="16" t="n">
        <v>5</v>
      </c>
      <c r="G10" s="16" t="n">
        <v>0.1</v>
      </c>
      <c r="H10" s="16" t="n">
        <v>0.995</v>
      </c>
      <c r="I10" s="16" t="inlineStr">
        <is>
          <t>별표12①②, 별표10(상업·공공), 별표6 산화계수</t>
        </is>
      </c>
      <c r="J10" s="81" t="n">
        <v>0</v>
      </c>
    </row>
    <row r="11">
      <c r="B11" s="17" t="inlineStr">
        <is>
          <t>LPG-부탄(LPG3호)</t>
        </is>
      </c>
      <c r="C11" s="15" t="inlineStr">
        <is>
          <t>kg</t>
        </is>
      </c>
      <c r="D11" s="16" t="n">
        <v>45.7</v>
      </c>
      <c r="E11" s="16" t="n">
        <v>66300</v>
      </c>
      <c r="F11" s="16" t="n">
        <v>5</v>
      </c>
      <c r="G11" s="16" t="n">
        <v>0.1</v>
      </c>
      <c r="H11" s="16" t="n">
        <v>0.995</v>
      </c>
      <c r="I11" s="16" t="inlineStr">
        <is>
          <t>별표12①②, 별표10(상업·공공), 별표6 산화계수</t>
        </is>
      </c>
      <c r="J11" s="81" t="n">
        <v>0</v>
      </c>
    </row>
    <row r="12">
      <c r="B12" s="14" t="inlineStr">
        <is>
          <t>도시가스/LNG</t>
        </is>
      </c>
      <c r="C12" s="15" t="inlineStr">
        <is>
          <t>Nm³</t>
        </is>
      </c>
      <c r="D12" s="16" t="n">
        <v>38.9</v>
      </c>
      <c r="E12" s="16" t="n">
        <v>56100</v>
      </c>
      <c r="F12" s="16" t="n">
        <v>5</v>
      </c>
      <c r="G12" s="16" t="n">
        <v>0.1</v>
      </c>
      <c r="H12" s="16" t="n">
        <v>0.995</v>
      </c>
      <c r="I12" s="16" t="inlineStr">
        <is>
          <t>별표12①②, 별표10(상업·공공), 별표6 산화계수</t>
        </is>
      </c>
      <c r="J12" s="81" t="n">
        <v>0</v>
      </c>
    </row>
    <row r="13">
      <c r="B13" s="84" t="inlineStr">
        <is>
          <t>화목(장작)</t>
        </is>
      </c>
      <c r="C13" s="81" t="inlineStr">
        <is>
          <t>kg</t>
        </is>
      </c>
      <c r="D13" s="81" t="n">
        <v>15.6</v>
      </c>
      <c r="E13" s="81" t="n">
        <v>0</v>
      </c>
      <c r="F13" s="81" t="n">
        <v>300</v>
      </c>
      <c r="G13" s="81" t="n">
        <v>4</v>
      </c>
      <c r="H13" s="81" t="n">
        <v>1</v>
      </c>
      <c r="I13" s="82" t="inlineStr">
        <is>
          <t>별표11·별표10 Ⅴ.바이오매스(상업·공공) / 생물기원 CO2 는 합계 제외</t>
        </is>
      </c>
      <c r="J13" s="81" t="n">
        <v>112000</v>
      </c>
    </row>
    <row r="14" ht="15" customHeight="1">
      <c r="B14" s="56" t="inlineStr">
        <is>
          <t>* CH4·N2O는 별표12에 국가고유값이 없어 별표10(IPCC 2006 GL Tier1)을 사용합니다. **쓰임이 상업·공공이므로 상업·공공 열**을 씁니다(사찰·교회 등). 별표10의 CH4는 에너지산업/제조업·건설업/상업·공공/가정·기타 네 열이고, 2026-10-24 이전에는 제조업·건설업 열을 쓰고 있었습니다. N2O는 네 연료 모두 상업·공공에서도 같은 값이라 바뀌지 않았습니다. 경유·휘발유는 이 도구에서 차량(이동연소)으로만 쓰므로 그대로 두었습니다 — 이 표는 연료당 한 줄이라 ③고정연소와 ④이동연소가 같은 줄을 봅니다. CO2만 국가고유(Tier2), CH4·N2O는 국제평균(Tier1)을 쓰는 것은 지침상 허용되는 정상적인 조합입니다 (제11조①).</t>
        </is>
      </c>
    </row>
    <row r="15"/>
    <row r="16"/>
    <row r="18" ht="15" customHeight="1">
      <c r="B18" s="57" t="inlineStr">
        <is>
          <t>GWP 병행 기준: AR5(IPCC 5차, K-ETS 현행 공식기준) CH4=28, N2O=265  |  AR6(IPCC 6차, CBAM·ISSB 등 국제보고용) CH4=29.8(화석연료 기준), N2O=273</t>
        </is>
      </c>
    </row>
    <row r="19"/>
    <row r="21">
      <c r="B21" s="10" t="inlineStr">
        <is>
          <t>전력배출계수(별도, ⑤Scope2_전력 시트 참조): 발전단 0.3844 / 소비단 0.4173 tCO2eq/MWh (기후에너지환경부 2025.12 공표, 2023년 확정치)</t>
        </is>
      </c>
    </row>
    <row r="23">
      <c r="B23" s="83" t="inlineStr">
        <is>
          <t>이동연소(도로) 전용 참조표 — 별표6 「5. 이동연소(도로)」</t>
        </is>
      </c>
    </row>
    <row r="24" ht="32" customHeight="1">
      <c r="B24" s="77" t="inlineStr">
        <is>
          <t>도로 Tier 1 산정식은 활동량 x 발열량 x 배출계수 x 10^-6 으로 **산화계수 항이 없습니다.** 그래서 산화계수를 1.0 으로 둡니다. CH4·N2O 는 별표6 &lt;표-4&gt;, CO2·발열량은 별표12(국가 고유)입니다. 고정연소와 CO2 만 같고 CH4·N2O 는 다릅니다.</t>
        </is>
      </c>
    </row>
    <row r="25" ht="30" customHeight="1">
      <c r="B25" s="78" t="inlineStr">
        <is>
          <t>연료명</t>
        </is>
      </c>
      <c r="C25" s="78" t="inlineStr">
        <is>
          <t>단위</t>
        </is>
      </c>
      <c r="D25" s="78" t="inlineStr">
        <is>
          <t>순발열량
(MJ/단위)</t>
        </is>
      </c>
      <c r="E25" s="78" t="inlineStr">
        <is>
          <t>CO2배출계수
(kgCO2/TJ)</t>
        </is>
      </c>
      <c r="F25" s="78" t="inlineStr">
        <is>
          <t>CH4배출계수
(kgCH4/TJ)</t>
        </is>
      </c>
      <c r="G25" s="78" t="inlineStr">
        <is>
          <t>N2O배출계수
(kgN2O/TJ)</t>
        </is>
      </c>
      <c r="H25" s="78" t="inlineStr">
        <is>
          <t>산화계수</t>
        </is>
      </c>
      <c r="I25" s="78" t="inlineStr">
        <is>
          <t>근거 별표</t>
        </is>
      </c>
    </row>
    <row r="26">
      <c r="B26" s="84" t="inlineStr">
        <is>
          <t>휘발유(Gasoline)</t>
        </is>
      </c>
      <c r="C26" s="81" t="inlineStr">
        <is>
          <t>L</t>
        </is>
      </c>
      <c r="D26" s="81" t="n">
        <v>30.4</v>
      </c>
      <c r="E26" s="81" t="n">
        <v>71600</v>
      </c>
      <c r="F26" s="81" t="n">
        <v>25</v>
      </c>
      <c r="G26" s="81" t="n">
        <v>8</v>
      </c>
      <c r="H26" s="81" t="n">
        <v>1</v>
      </c>
      <c r="I26" s="81" t="inlineStr">
        <is>
          <t>별표12①②, 별표6 &lt;표-4&gt;</t>
        </is>
      </c>
    </row>
    <row r="27">
      <c r="B27" s="84" t="inlineStr">
        <is>
          <t>경유(Diesel)</t>
        </is>
      </c>
      <c r="C27" s="81" t="inlineStr">
        <is>
          <t>L</t>
        </is>
      </c>
      <c r="D27" s="81" t="n">
        <v>35.2</v>
      </c>
      <c r="E27" s="81" t="n">
        <v>73200</v>
      </c>
      <c r="F27" s="81" t="n">
        <v>3.9</v>
      </c>
      <c r="G27" s="81" t="n">
        <v>3.9</v>
      </c>
      <c r="H27" s="81" t="n">
        <v>1</v>
      </c>
      <c r="I27" s="81" t="inlineStr">
        <is>
          <t>별표12①②, 별표6 &lt;표-4&gt;</t>
        </is>
      </c>
    </row>
    <row r="28">
      <c r="B28" s="84" t="inlineStr">
        <is>
          <t>LPG-부탄(LPG3호)</t>
        </is>
      </c>
      <c r="C28" s="81" t="inlineStr">
        <is>
          <t>kg</t>
        </is>
      </c>
      <c r="D28" s="81" t="n">
        <v>45.7</v>
      </c>
      <c r="E28" s="81" t="n">
        <v>66300</v>
      </c>
      <c r="F28" s="81" t="n">
        <v>62</v>
      </c>
      <c r="G28" s="81" t="n">
        <v>0.2</v>
      </c>
      <c r="H28" s="81" t="n">
        <v>1</v>
      </c>
      <c r="I28" s="81" t="inlineStr">
        <is>
          <t>별표12①②, 별표6 &lt;표-4&gt;</t>
        </is>
      </c>
    </row>
    <row r="30">
      <c r="B30" t="inlineStr">
        <is>
          <t>* 같은 경유라도 보일러(③)는 CH4 10 · 산화계수 0.99, 차량(④)은 CH4 3.9 · 산화계수 1.0 입니다. 표를 나눈 까닭입니다.</t>
        </is>
      </c>
    </row>
  </sheetData>
  <mergeCells count="3">
    <mergeCell ref="B14:I16"/>
    <mergeCell ref="B18:I19"/>
    <mergeCell ref="B24:I24"/>
  </mergeCells>
  <pageMargins left="0.7480314960629921" right="0.7480314960629921" top="0.984251968503937" bottom="0.984251968503937" header="0.5118110236220472" footer="0.5118110236220472"/>
  <pageSetup orientation="landscape" paperSize="9" scale="96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T21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  <col width="16" customWidth="1" min="20" max="20"/>
  </cols>
  <sheetData>
    <row r="2" ht="17.4" customHeight="1">
      <c r="B2" s="18" t="inlineStr">
        <is>
          <t>Scope 1 — 고정연소 배출량 산정 (보일러·화목 등)</t>
        </is>
      </c>
    </row>
    <row r="3">
      <c r="B3" s="19" t="inlineStr">
        <is>
          <t>노란 셀(연료명·활동량)만 적으세요. 연료명은 목록에서 고르십시오.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  <c r="T6" t="inlineStr">
        <is>
          <t>참고 — 합계 미포함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  <c r="T7" s="78" t="inlineStr">
        <is>
          <t>생물기원 CO2
(kgCO2, 합계 제외)</t>
        </is>
      </c>
    </row>
    <row r="8" ht="25.5" customHeight="1">
      <c r="B8" s="22" t="n"/>
      <c r="C8" s="23">
        <f>IFERROR(INDEX(FUEL_TABLE,MATCH($B8,INDEX(FUEL_TABLE,0,1),0),2),"")</f>
        <v/>
      </c>
      <c r="D8" s="24" t="n"/>
      <c r="E8" s="23">
        <f>IFERROR(INDEX(FUEL_TABLE,MATCH($B8,INDEX(FUEL_TABLE,0,1),0),3),"")</f>
        <v/>
      </c>
      <c r="F8" s="60">
        <f>IFERROR(D8*E8/1000000,0)</f>
        <v/>
      </c>
      <c r="G8" s="23">
        <f>IFERROR(INDEX(FUEL_TABLE,MATCH($B8,INDEX(FUEL_TABLE,0,1),0),4),"")</f>
        <v/>
      </c>
      <c r="H8" s="23">
        <f>IFERROR(INDEX(FUEL_TABLE,MATCH($B8,INDEX(FUEL_TABLE,0,1),0),7),"")</f>
        <v/>
      </c>
      <c r="I8" s="61">
        <f>IFERROR(F8*G8*H8,0)</f>
        <v/>
      </c>
      <c r="J8" s="23">
        <f>IFERROR(INDEX(FUEL_TABLE,MATCH($B8,INDEX(FUEL_TABLE,0,1),0),5),"")</f>
        <v/>
      </c>
      <c r="K8" s="62">
        <f>IFERROR(F8*J8,0)</f>
        <v/>
      </c>
      <c r="L8" s="23">
        <f>IFERROR(INDEX(FUEL_TABLE,MATCH($B8,INDEX(FUEL_TABLE,0,1),0),6),"")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  <c r="T8">
        <f>IFERROR(IF(INDEX(FUEL_TABLE,MATCH($B8,INDEX(FUEL_TABLE,0,1),0),9)=0,"",F8*INDEX(FUEL_TABLE,MATCH($B8,INDEX(FUEL_TABLE,0,1),0),9)*H8),"")</f>
        <v/>
      </c>
    </row>
    <row r="9" ht="25.5" customHeight="1">
      <c r="B9" s="22" t="n"/>
      <c r="C9" s="23">
        <f>IFERROR(INDEX(FUEL_TABLE,MATCH($B9,INDEX(FUEL_TABLE,0,1),0),2),"")</f>
        <v/>
      </c>
      <c r="D9" s="24" t="n"/>
      <c r="E9" s="23">
        <f>IFERROR(INDEX(FUEL_TABLE,MATCH($B9,INDEX(FUEL_TABLE,0,1),0),3),"")</f>
        <v/>
      </c>
      <c r="F9" s="60">
        <f>IFERROR(D9*E9/1000000,0)</f>
        <v/>
      </c>
      <c r="G9" s="23">
        <f>IFERROR(INDEX(FUEL_TABLE,MATCH($B9,INDEX(FUEL_TABLE,0,1),0),4),"")</f>
        <v/>
      </c>
      <c r="H9" s="23">
        <f>IFERROR(INDEX(FUEL_TABLE,MATCH($B9,INDEX(FUEL_TABLE,0,1),0),7),"")</f>
        <v/>
      </c>
      <c r="I9" s="61">
        <f>IFERROR(F9*G9*H9,0)</f>
        <v/>
      </c>
      <c r="J9" s="23">
        <f>IFERROR(INDEX(FUEL_TABLE,MATCH($B9,INDEX(FUEL_TABLE,0,1),0),5),"")</f>
        <v/>
      </c>
      <c r="K9" s="62">
        <f>IFERROR(F9*J9,0)</f>
        <v/>
      </c>
      <c r="L9" s="23">
        <f>IFERROR(INDEX(FUEL_TABLE,MATCH($B9,INDEX(FUEL_TABLE,0,1),0),6),"")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  <c r="T9">
        <f>IFERROR(IF(INDEX(FUEL_TABLE,MATCH($B9,INDEX(FUEL_TABLE,0,1),0),9)=0,"",F9*INDEX(FUEL_TABLE,MATCH($B9,INDEX(FUEL_TABLE,0,1),0),9)*H9),"")</f>
        <v/>
      </c>
    </row>
    <row r="10" ht="25.5" customHeight="1">
      <c r="B10" s="31" t="n"/>
      <c r="C10" s="23">
        <f>IFERROR(INDEX(FUEL_TABLE,MATCH($B10,INDEX(FUEL_TABLE,0,1),0),2),"")</f>
        <v/>
      </c>
      <c r="D10" s="24" t="n"/>
      <c r="E10" s="23">
        <f>IFERROR(INDEX(FUEL_TABLE,MATCH($B10,INDEX(FUEL_TABLE,0,1),0),3),"")</f>
        <v/>
      </c>
      <c r="F10" s="60">
        <f>IFERROR(D10*E10/1000000,0)</f>
        <v/>
      </c>
      <c r="G10" s="23">
        <f>IFERROR(INDEX(FUEL_TABLE,MATCH($B10,INDEX(FUEL_TABLE,0,1),0),4),"")</f>
        <v/>
      </c>
      <c r="H10" s="23">
        <f>IFERROR(INDEX(FUEL_TABLE,MATCH($B10,INDEX(FUEL_TABLE,0,1),0),7),"")</f>
        <v/>
      </c>
      <c r="I10" s="61">
        <f>IFERROR(F10*G10*H10,0)</f>
        <v/>
      </c>
      <c r="J10" s="23">
        <f>IFERROR(INDEX(FUEL_TABLE,MATCH($B10,INDEX(FUEL_TABLE,0,1),0),5),"")</f>
        <v/>
      </c>
      <c r="K10" s="62">
        <f>IFERROR(F10*J10,0)</f>
        <v/>
      </c>
      <c r="L10" s="23">
        <f>IFERROR(INDEX(FUEL_TABLE,MATCH($B10,INDEX(FUEL_TABLE,0,1),0),6),"")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  <c r="T10">
        <f>IFERROR(IF(INDEX(FUEL_TABLE,MATCH($B10,INDEX(FUEL_TABLE,0,1),0),9)=0,"",F10*INDEX(FUEL_TABLE,MATCH($B10,INDEX(FUEL_TABLE,0,1),0),9)*H10),"")</f>
        <v/>
      </c>
    </row>
    <row r="11" ht="25.5" customHeight="1">
      <c r="B11" s="22" t="n"/>
      <c r="C11" s="23">
        <f>IFERROR(INDEX(FUEL_TABLE,MATCH($B11,INDEX(FUEL_TABLE,0,1),0),2),"")</f>
        <v/>
      </c>
      <c r="D11" s="24" t="n"/>
      <c r="E11" s="23">
        <f>IFERROR(INDEX(FUEL_TABLE,MATCH($B11,INDEX(FUEL_TABLE,0,1),0),3),"")</f>
        <v/>
      </c>
      <c r="F11" s="60">
        <f>IFERROR(D11*E11/1000000,0)</f>
        <v/>
      </c>
      <c r="G11" s="23">
        <f>IFERROR(INDEX(FUEL_TABLE,MATCH($B11,INDEX(FUEL_TABLE,0,1),0),4),"")</f>
        <v/>
      </c>
      <c r="H11" s="23">
        <f>IFERROR(INDEX(FUEL_TABLE,MATCH($B11,INDEX(FUEL_TABLE,0,1),0),7),"")</f>
        <v/>
      </c>
      <c r="I11" s="61">
        <f>IFERROR(F11*G11*H11,0)</f>
        <v/>
      </c>
      <c r="J11" s="23">
        <f>IFERROR(INDEX(FUEL_TABLE,MATCH($B11,INDEX(FUEL_TABLE,0,1),0),5),"")</f>
        <v/>
      </c>
      <c r="K11" s="62">
        <f>IFERROR(F11*J11,0)</f>
        <v/>
      </c>
      <c r="L11" s="23">
        <f>IFERROR(INDEX(FUEL_TABLE,MATCH($B11,INDEX(FUEL_TABLE,0,1),0),6),"")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  <c r="T11">
        <f>IFERROR(IF(INDEX(FUEL_TABLE,MATCH($B11,INDEX(FUEL_TABLE,0,1),0),9)=0,"",F11*INDEX(FUEL_TABLE,MATCH($B11,INDEX(FUEL_TABLE,0,1),0),9)*H11),"")</f>
        <v/>
      </c>
    </row>
    <row r="12" ht="25.5" customHeight="1">
      <c r="B12" s="31" t="n"/>
      <c r="C12" s="23">
        <f>IFERROR(INDEX(FUEL_TABLE,MATCH($B12,INDEX(FUEL_TABLE,0,1),0),2),"")</f>
        <v/>
      </c>
      <c r="D12" s="24" t="n"/>
      <c r="E12" s="23">
        <f>IFERROR(INDEX(FUEL_TABLE,MATCH($B12,INDEX(FUEL_TABLE,0,1),0),3),"")</f>
        <v/>
      </c>
      <c r="F12" s="60">
        <f>IFERROR(D12*E12/1000000,0)</f>
        <v/>
      </c>
      <c r="G12" s="23">
        <f>IFERROR(INDEX(FUEL_TABLE,MATCH($B12,INDEX(FUEL_TABLE,0,1),0),4),"")</f>
        <v/>
      </c>
      <c r="H12" s="23">
        <f>IFERROR(INDEX(FUEL_TABLE,MATCH($B12,INDEX(FUEL_TABLE,0,1),0),7),"")</f>
        <v/>
      </c>
      <c r="I12" s="61">
        <f>IFERROR(F12*G12*H12,0)</f>
        <v/>
      </c>
      <c r="J12" s="23">
        <f>IFERROR(INDEX(FUEL_TABLE,MATCH($B12,INDEX(FUEL_TABLE,0,1),0),5),"")</f>
        <v/>
      </c>
      <c r="K12" s="62">
        <f>IFERROR(F12*J12,0)</f>
        <v/>
      </c>
      <c r="L12" s="23">
        <f>IFERROR(INDEX(FUEL_TABLE,MATCH($B12,INDEX(FUEL_TABLE,0,1),0),6),"")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  <c r="T12">
        <f>IFERROR(IF(INDEX(FUEL_TABLE,MATCH($B12,INDEX(FUEL_TABLE,0,1),0),9)=0,"",F12*INDEX(FUEL_TABLE,MATCH($B12,INDEX(FUEL_TABLE,0,1),0),9)*H12),"")</f>
        <v/>
      </c>
    </row>
    <row r="13" ht="25.5" customHeight="1">
      <c r="B13" s="31" t="n"/>
      <c r="C13" s="23">
        <f>IFERROR(INDEX(FUEL_TABLE,MATCH($B13,INDEX(FUEL_TABLE,0,1),0),2),"")</f>
        <v/>
      </c>
      <c r="D13" s="24" t="n"/>
      <c r="E13" s="23">
        <f>IFERROR(INDEX(FUEL_TABLE,MATCH($B13,INDEX(FUEL_TABLE,0,1),0),3),"")</f>
        <v/>
      </c>
      <c r="F13" s="60">
        <f>IFERROR(D13*E13/1000000,0)</f>
        <v/>
      </c>
      <c r="G13" s="23">
        <f>IFERROR(INDEX(FUEL_TABLE,MATCH($B13,INDEX(FUEL_TABLE,0,1),0),4),"")</f>
        <v/>
      </c>
      <c r="H13" s="23">
        <f>IFERROR(INDEX(FUEL_TABLE,MATCH($B13,INDEX(FUEL_TABLE,0,1),0),7),"")</f>
        <v/>
      </c>
      <c r="I13" s="61">
        <f>IFERROR(F13*G13*H13,0)</f>
        <v/>
      </c>
      <c r="J13" s="23">
        <f>IFERROR(INDEX(FUEL_TABLE,MATCH($B13,INDEX(FUEL_TABLE,0,1),0),5),"")</f>
        <v/>
      </c>
      <c r="K13" s="62">
        <f>IFERROR(F13*J13,0)</f>
        <v/>
      </c>
      <c r="L13" s="23">
        <f>IFERROR(INDEX(FUEL_TABLE,MATCH($B13,INDEX(FUEL_TABLE,0,1),0),6),"")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  <c r="T13">
        <f>IFERROR(IF(INDEX(FUEL_TABLE,MATCH($B13,INDEX(FUEL_TABLE,0,1),0),9)=0,"",F13*INDEX(FUEL_TABLE,MATCH($B13,INDEX(FUEL_TABLE,0,1),0),9)*H13),"")</f>
        <v/>
      </c>
    </row>
    <row r="14" ht="25.5" customHeight="1">
      <c r="B14" s="31" t="n"/>
      <c r="C14" s="23">
        <f>IFERROR(INDEX(FUEL_TABLE,MATCH($B14,INDEX(FUEL_TABLE,0,1),0),2),"")</f>
        <v/>
      </c>
      <c r="D14" s="24" t="n"/>
      <c r="E14" s="23">
        <f>IFERROR(INDEX(FUEL_TABLE,MATCH($B14,INDEX(FUEL_TABLE,0,1),0),3),"")</f>
        <v/>
      </c>
      <c r="F14" s="60">
        <f>IFERROR(D14*E14/1000000,0)</f>
        <v/>
      </c>
      <c r="G14" s="23">
        <f>IFERROR(INDEX(FUEL_TABLE,MATCH($B14,INDEX(FUEL_TABLE,0,1),0),4),"")</f>
        <v/>
      </c>
      <c r="H14" s="23">
        <f>IFERROR(INDEX(FUEL_TABLE,MATCH($B14,INDEX(FUEL_TABLE,0,1),0),7),"")</f>
        <v/>
      </c>
      <c r="I14" s="61">
        <f>IFERROR(F14*G14*H14,0)</f>
        <v/>
      </c>
      <c r="J14" s="23">
        <f>IFERROR(INDEX(FUEL_TABLE,MATCH($B14,INDEX(FUEL_TABLE,0,1),0),5),"")</f>
        <v/>
      </c>
      <c r="K14" s="62">
        <f>IFERROR(F14*J14,0)</f>
        <v/>
      </c>
      <c r="L14" s="23">
        <f>IFERROR(INDEX(FUEL_TABLE,MATCH($B14,INDEX(FUEL_TABLE,0,1),0),6),"")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  <c r="T14">
        <f>IFERROR(IF(INDEX(FUEL_TABLE,MATCH($B14,INDEX(FUEL_TABLE,0,1),0),9)=0,"",F14*INDEX(FUEL_TABLE,MATCH($B14,INDEX(FUEL_TABLE,0,1),0),9)*H14),"")</f>
        <v/>
      </c>
    </row>
    <row r="15" ht="25.5" customHeight="1">
      <c r="B15" s="31" t="n"/>
      <c r="C15" s="23">
        <f>IFERROR(INDEX(FUEL_TABLE,MATCH($B15,INDEX(FUEL_TABLE,0,1),0),2),"")</f>
        <v/>
      </c>
      <c r="D15" s="24" t="n"/>
      <c r="E15" s="23">
        <f>IFERROR(INDEX(FUEL_TABLE,MATCH($B15,INDEX(FUEL_TABLE,0,1),0),3),"")</f>
        <v/>
      </c>
      <c r="F15" s="60">
        <f>IFERROR(D15*E15/1000000,0)</f>
        <v/>
      </c>
      <c r="G15" s="23">
        <f>IFERROR(INDEX(FUEL_TABLE,MATCH($B15,INDEX(FUEL_TABLE,0,1),0),4),"")</f>
        <v/>
      </c>
      <c r="H15" s="23">
        <f>IFERROR(INDEX(FUEL_TABLE,MATCH($B15,INDEX(FUEL_TABLE,0,1),0),7),"")</f>
        <v/>
      </c>
      <c r="I15" s="61">
        <f>IFERROR(F15*G15*H15,0)</f>
        <v/>
      </c>
      <c r="J15" s="23">
        <f>IFERROR(INDEX(FUEL_TABLE,MATCH($B15,INDEX(FUEL_TABLE,0,1),0),5),"")</f>
        <v/>
      </c>
      <c r="K15" s="62">
        <f>IFERROR(F15*J15,0)</f>
        <v/>
      </c>
      <c r="L15" s="23">
        <f>IFERROR(INDEX(FUEL_TABLE,MATCH($B15,INDEX(FUEL_TABLE,0,1),0),6),"")</f>
        <v/>
      </c>
      <c r="M15" s="62">
        <f>IFERROR(F15*L15,0)</f>
        <v/>
      </c>
      <c r="N15" s="61">
        <f>IFERROR(I15+K15*28+M15*265,0)</f>
        <v/>
      </c>
      <c r="O15" s="63">
        <f>IFERROR(N15/1000,0)</f>
        <v/>
      </c>
      <c r="P15" s="61">
        <f>IFERROR(I15+K15*29.8+M15*273,0)</f>
        <v/>
      </c>
      <c r="Q15" s="64">
        <f>IFERROR(P15/1000,0)</f>
        <v/>
      </c>
      <c r="R15" s="30">
        <f>IF(OR($B15="",$D15=""),"","CO2 "&amp;TEXT(I15,"#,##0")&amp;" + CH4 "&amp;TEXT(K15,"0.0")&amp;"×28 + N2O "&amp;TEXT(M15,"0.00")&amp;"×265 = "&amp;TEXT(N15,"#,##0")&amp;" kgCO2eq")</f>
        <v/>
      </c>
      <c r="S15" s="30">
        <f>IF(OR($B15="",$D15=""),"","CO2 "&amp;TEXT(I15,"#,##0")&amp;" + CH4 "&amp;TEXT(K15,"0.0")&amp;"×29.8 + N2O "&amp;TEXT(M15,"0.00")&amp;"×273 = "&amp;TEXT(P15,"#,##0")&amp;" kgCO2eq")</f>
        <v/>
      </c>
      <c r="T15">
        <f>IFERROR(IF(INDEX(FUEL_TABLE,MATCH($B15,INDEX(FUEL_TABLE,0,1),0),9)=0,"",F15*INDEX(FUEL_TABLE,MATCH($B15,INDEX(FUEL_TABLE,0,1),0),9)*H15),"")</f>
        <v/>
      </c>
    </row>
    <row r="16">
      <c r="B16" s="5" t="inlineStr">
        <is>
          <t>합계</t>
        </is>
      </c>
      <c r="N16" s="65">
        <f>SUM(N8:N15)</f>
        <v/>
      </c>
      <c r="O16" s="66">
        <f>SUM(O8:O15)</f>
        <v/>
      </c>
      <c r="P16" s="65">
        <f>SUM(P8:P15)</f>
        <v/>
      </c>
      <c r="Q16" s="66">
        <f>SUM(Q8:Q15)</f>
        <v/>
      </c>
    </row>
    <row r="18">
      <c r="B18" s="10" t="inlineStr">
        <is>
          <t>주1) 연료명은 반드시 ②참조표의 명칭과 정확히 일치해야 자동계산됩니다(오타 시 공란 표시).</t>
        </is>
      </c>
    </row>
    <row r="19">
      <c r="B19" s="10" t="inlineStr">
        <is>
          <t>주2) CO2는 국가고유(Tier2, 별표12), CH4·N2O는 IPCC(Tier1, 별표10)를 사용하는 것은 지침상 허용되는 정상 조합입니다.</t>
        </is>
      </c>
    </row>
    <row r="20">
      <c r="B20" s="10" t="inlineStr">
        <is>
          <t>주3) 산화계수는 CO2에만 적용합니다(CH4·N2O는 산화계수 미적용, 제2조24호·정의 참조).</t>
        </is>
      </c>
    </row>
    <row r="21">
      <c r="B21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dataValidations count="1">
    <dataValidation sqref="B8:B21" showDropDown="0" showInputMessage="0" showErrorMessage="0" allowBlank="1" errorTitle="연료명이 참조표와 다릅니다" error="참조표에 있는 연료명을 목록에서 고르세요." type="list">
      <formula1>"도시가스/LNG,경유(Diesel),등유(Kerosene),휘발유(Gasoline),LPG-프로판(LPG1호),LPG-부탄(LPG3호),화목(장작)"</formula1>
    </dataValidation>
  </dataValidation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S20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</cols>
  <sheetData>
    <row r="2" ht="17.4" customHeight="1">
      <c r="B2" s="18" t="inlineStr">
        <is>
          <t>Scope 1 — 이동연소 배출량 산정 (사찰 보유 차량)</t>
        </is>
      </c>
    </row>
    <row r="3">
      <c r="B3" s="19" t="inlineStr">
        <is>
          <t>노란 셀(연료명·활동량)만 적으세요. 연료명은 목록에서 고르십시오.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5">
      <c r="B5" s="55" t="inlineStr">
        <is>
          <t>참고: 도로 이동연소는 별표6 「5. 이동연소(도로)」를 따릅니다. CO2·발열량은 별표12로 고정연소와 같지만 **CH4·N2O 는 &lt;표-4&gt; 의 도로 전용 값이라 다릅니다** (휘발유 25/8.0, 경유 3.9/3.9, LPG 62/0.2). 도로 산정식에는 산화계수 항이 없어 1.0 을 씁니다.</t>
        </is>
      </c>
    </row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</row>
    <row r="8" ht="25.5" customHeight="1">
      <c r="B8" s="22" t="n"/>
      <c r="C8" s="23">
        <f>IFERROR(INDEX(ROAD_TABLE,MATCH($B8,INDEX(ROAD_TABLE,0,1),0),2),"")</f>
        <v/>
      </c>
      <c r="D8" s="24" t="n"/>
      <c r="E8" s="23">
        <f>IFERROR(INDEX(ROAD_TABLE,MATCH($B8,INDEX(ROAD_TABLE,0,1),0),3),"")</f>
        <v/>
      </c>
      <c r="F8" s="60">
        <f>IFERROR(D8*E8/1000000,0)</f>
        <v/>
      </c>
      <c r="G8" s="23">
        <f>IFERROR(INDEX(ROAD_TABLE,MATCH($B8,INDEX(ROAD_TABLE,0,1),0),4),"")</f>
        <v/>
      </c>
      <c r="H8" s="23">
        <f>IFERROR(INDEX(ROAD_TABLE,MATCH($B8,INDEX(ROAD_TABLE,0,1),0),7),"")</f>
        <v/>
      </c>
      <c r="I8" s="61">
        <f>IFERROR(F8*G8*H8,0)</f>
        <v/>
      </c>
      <c r="J8" s="23">
        <f>IFERROR(INDEX(ROAD_TABLE,MATCH($B8,INDEX(ROAD_TABLE,0,1),0),5),"")</f>
        <v/>
      </c>
      <c r="K8" s="62">
        <f>IFERROR(F8*J8,0)</f>
        <v/>
      </c>
      <c r="L8" s="23">
        <f>IFERROR(INDEX(ROAD_TABLE,MATCH($B8,INDEX(ROAD_TABLE,0,1),0),6),"")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</row>
    <row r="9" ht="25.5" customHeight="1">
      <c r="B9" s="22" t="n"/>
      <c r="C9" s="23">
        <f>IFERROR(INDEX(ROAD_TABLE,MATCH($B9,INDEX(ROAD_TABLE,0,1),0),2),"")</f>
        <v/>
      </c>
      <c r="D9" s="24" t="n"/>
      <c r="E9" s="23">
        <f>IFERROR(INDEX(ROAD_TABLE,MATCH($B9,INDEX(ROAD_TABLE,0,1),0),3),"")</f>
        <v/>
      </c>
      <c r="F9" s="60">
        <f>IFERROR(D9*E9/1000000,0)</f>
        <v/>
      </c>
      <c r="G9" s="23">
        <f>IFERROR(INDEX(ROAD_TABLE,MATCH($B9,INDEX(ROAD_TABLE,0,1),0),4),"")</f>
        <v/>
      </c>
      <c r="H9" s="23">
        <f>IFERROR(INDEX(ROAD_TABLE,MATCH($B9,INDEX(ROAD_TABLE,0,1),0),7),"")</f>
        <v/>
      </c>
      <c r="I9" s="61">
        <f>IFERROR(F9*G9*H9,0)</f>
        <v/>
      </c>
      <c r="J9" s="23">
        <f>IFERROR(INDEX(ROAD_TABLE,MATCH($B9,INDEX(ROAD_TABLE,0,1),0),5),"")</f>
        <v/>
      </c>
      <c r="K9" s="62">
        <f>IFERROR(F9*J9,0)</f>
        <v/>
      </c>
      <c r="L9" s="23">
        <f>IFERROR(INDEX(ROAD_TABLE,MATCH($B9,INDEX(ROAD_TABLE,0,1),0),6),"")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</row>
    <row r="10" ht="25.5" customHeight="1">
      <c r="B10" s="22" t="n"/>
      <c r="C10" s="23">
        <f>IFERROR(INDEX(ROAD_TABLE,MATCH($B10,INDEX(ROAD_TABLE,0,1),0),2),"")</f>
        <v/>
      </c>
      <c r="D10" s="24" t="n"/>
      <c r="E10" s="23">
        <f>IFERROR(INDEX(ROAD_TABLE,MATCH($B10,INDEX(ROAD_TABLE,0,1),0),3),"")</f>
        <v/>
      </c>
      <c r="F10" s="60">
        <f>IFERROR(D10*E10/1000000,0)</f>
        <v/>
      </c>
      <c r="G10" s="23">
        <f>IFERROR(INDEX(ROAD_TABLE,MATCH($B10,INDEX(ROAD_TABLE,0,1),0),4),"")</f>
        <v/>
      </c>
      <c r="H10" s="23">
        <f>IFERROR(INDEX(ROAD_TABLE,MATCH($B10,INDEX(ROAD_TABLE,0,1),0),7),"")</f>
        <v/>
      </c>
      <c r="I10" s="61">
        <f>IFERROR(F10*G10*H10,0)</f>
        <v/>
      </c>
      <c r="J10" s="23">
        <f>IFERROR(INDEX(ROAD_TABLE,MATCH($B10,INDEX(ROAD_TABLE,0,1),0),5),"")</f>
        <v/>
      </c>
      <c r="K10" s="62">
        <f>IFERROR(F10*J10,0)</f>
        <v/>
      </c>
      <c r="L10" s="23">
        <f>IFERROR(INDEX(ROAD_TABLE,MATCH($B10,INDEX(ROAD_TABLE,0,1),0),6),"")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</row>
    <row r="11" ht="25.5" customHeight="1">
      <c r="B11" s="31" t="n"/>
      <c r="C11" s="23">
        <f>IFERROR(INDEX(ROAD_TABLE,MATCH($B11,INDEX(ROAD_TABLE,0,1),0),2),"")</f>
        <v/>
      </c>
      <c r="D11" s="24" t="n"/>
      <c r="E11" s="23">
        <f>IFERROR(INDEX(ROAD_TABLE,MATCH($B11,INDEX(ROAD_TABLE,0,1),0),3),"")</f>
        <v/>
      </c>
      <c r="F11" s="60">
        <f>IFERROR(D11*E11/1000000,0)</f>
        <v/>
      </c>
      <c r="G11" s="23">
        <f>IFERROR(INDEX(ROAD_TABLE,MATCH($B11,INDEX(ROAD_TABLE,0,1),0),4),"")</f>
        <v/>
      </c>
      <c r="H11" s="23">
        <f>IFERROR(INDEX(ROAD_TABLE,MATCH($B11,INDEX(ROAD_TABLE,0,1),0),7),"")</f>
        <v/>
      </c>
      <c r="I11" s="61">
        <f>IFERROR(F11*G11*H11,0)</f>
        <v/>
      </c>
      <c r="J11" s="23">
        <f>IFERROR(INDEX(ROAD_TABLE,MATCH($B11,INDEX(ROAD_TABLE,0,1),0),5),"")</f>
        <v/>
      </c>
      <c r="K11" s="62">
        <f>IFERROR(F11*J11,0)</f>
        <v/>
      </c>
      <c r="L11" s="23">
        <f>IFERROR(INDEX(ROAD_TABLE,MATCH($B11,INDEX(ROAD_TABLE,0,1),0),6),"")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</row>
    <row r="12" ht="25.5" customHeight="1">
      <c r="B12" s="31" t="n"/>
      <c r="C12" s="23">
        <f>IFERROR(INDEX(ROAD_TABLE,MATCH($B12,INDEX(ROAD_TABLE,0,1),0),2),"")</f>
        <v/>
      </c>
      <c r="D12" s="24" t="n"/>
      <c r="E12" s="23">
        <f>IFERROR(INDEX(ROAD_TABLE,MATCH($B12,INDEX(ROAD_TABLE,0,1),0),3),"")</f>
        <v/>
      </c>
      <c r="F12" s="60">
        <f>IFERROR(D12*E12/1000000,0)</f>
        <v/>
      </c>
      <c r="G12" s="23">
        <f>IFERROR(INDEX(ROAD_TABLE,MATCH($B12,INDEX(ROAD_TABLE,0,1),0),4),"")</f>
        <v/>
      </c>
      <c r="H12" s="23">
        <f>IFERROR(INDEX(ROAD_TABLE,MATCH($B12,INDEX(ROAD_TABLE,0,1),0),7),"")</f>
        <v/>
      </c>
      <c r="I12" s="61">
        <f>IFERROR(F12*G12*H12,0)</f>
        <v/>
      </c>
      <c r="J12" s="23">
        <f>IFERROR(INDEX(ROAD_TABLE,MATCH($B12,INDEX(ROAD_TABLE,0,1),0),5),"")</f>
        <v/>
      </c>
      <c r="K12" s="62">
        <f>IFERROR(F12*J12,0)</f>
        <v/>
      </c>
      <c r="L12" s="23">
        <f>IFERROR(INDEX(ROAD_TABLE,MATCH($B12,INDEX(ROAD_TABLE,0,1),0),6),"")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</row>
    <row r="13" ht="25.5" customHeight="1">
      <c r="B13" s="31" t="n"/>
      <c r="C13" s="23">
        <f>IFERROR(INDEX(ROAD_TABLE,MATCH($B13,INDEX(ROAD_TABLE,0,1),0),2),"")</f>
        <v/>
      </c>
      <c r="D13" s="24" t="n"/>
      <c r="E13" s="23">
        <f>IFERROR(INDEX(ROAD_TABLE,MATCH($B13,INDEX(ROAD_TABLE,0,1),0),3),"")</f>
        <v/>
      </c>
      <c r="F13" s="60">
        <f>IFERROR(D13*E13/1000000,0)</f>
        <v/>
      </c>
      <c r="G13" s="23">
        <f>IFERROR(INDEX(ROAD_TABLE,MATCH($B13,INDEX(ROAD_TABLE,0,1),0),4),"")</f>
        <v/>
      </c>
      <c r="H13" s="23">
        <f>IFERROR(INDEX(ROAD_TABLE,MATCH($B13,INDEX(ROAD_TABLE,0,1),0),7),"")</f>
        <v/>
      </c>
      <c r="I13" s="61">
        <f>IFERROR(F13*G13*H13,0)</f>
        <v/>
      </c>
      <c r="J13" s="23">
        <f>IFERROR(INDEX(ROAD_TABLE,MATCH($B13,INDEX(ROAD_TABLE,0,1),0),5),"")</f>
        <v/>
      </c>
      <c r="K13" s="62">
        <f>IFERROR(F13*J13,0)</f>
        <v/>
      </c>
      <c r="L13" s="23">
        <f>IFERROR(INDEX(ROAD_TABLE,MATCH($B13,INDEX(ROAD_TABLE,0,1),0),6),"")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</row>
    <row r="14" ht="25.5" customHeight="1">
      <c r="B14" s="31" t="n"/>
      <c r="C14" s="23">
        <f>IFERROR(INDEX(ROAD_TABLE,MATCH($B14,INDEX(ROAD_TABLE,0,1),0),2),"")</f>
        <v/>
      </c>
      <c r="D14" s="24" t="n"/>
      <c r="E14" s="23">
        <f>IFERROR(INDEX(ROAD_TABLE,MATCH($B14,INDEX(ROAD_TABLE,0,1),0),3),"")</f>
        <v/>
      </c>
      <c r="F14" s="60">
        <f>IFERROR(D14*E14/1000000,0)</f>
        <v/>
      </c>
      <c r="G14" s="23">
        <f>IFERROR(INDEX(ROAD_TABLE,MATCH($B14,INDEX(ROAD_TABLE,0,1),0),4),"")</f>
        <v/>
      </c>
      <c r="H14" s="23">
        <f>IFERROR(INDEX(ROAD_TABLE,MATCH($B14,INDEX(ROAD_TABLE,0,1),0),7),"")</f>
        <v/>
      </c>
      <c r="I14" s="61">
        <f>IFERROR(F14*G14*H14,0)</f>
        <v/>
      </c>
      <c r="J14" s="23">
        <f>IFERROR(INDEX(ROAD_TABLE,MATCH($B14,INDEX(ROAD_TABLE,0,1),0),5),"")</f>
        <v/>
      </c>
      <c r="K14" s="62">
        <f>IFERROR(F14*J14,0)</f>
        <v/>
      </c>
      <c r="L14" s="23">
        <f>IFERROR(INDEX(ROAD_TABLE,MATCH($B14,INDEX(ROAD_TABLE,0,1),0),6),"")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</row>
    <row r="15">
      <c r="B15" s="5" t="inlineStr">
        <is>
          <t>합계</t>
        </is>
      </c>
      <c r="N15" s="65">
        <f>SUM(N8:N14)</f>
        <v/>
      </c>
      <c r="O15" s="66">
        <f>SUM(O8:O14)</f>
        <v/>
      </c>
      <c r="P15" s="65">
        <f>SUM(P8:P14)</f>
        <v/>
      </c>
      <c r="Q15" s="66">
        <f>SUM(Q8:Q14)</f>
        <v/>
      </c>
    </row>
    <row r="17">
      <c r="B17" s="10" t="inlineStr">
        <is>
          <t>주1) 연료명은 반드시 ②참조표의 명칭과 정확히 일치해야 자동계산됩니다(오타 시 공란 표시).</t>
        </is>
      </c>
    </row>
    <row r="18">
      <c r="B18" s="10" t="inlineStr">
        <is>
          <t>주2) CO2는 국가고유(Tier2, 별표12), CH4·N2O는 IPCC(Tier1, 별표10)를 사용하는 것은 지침상 허용되는 정상 조합입니다.</t>
        </is>
      </c>
    </row>
    <row r="19">
      <c r="B19" s="10" t="inlineStr">
        <is>
          <t>주3) 산화계수는 CO2에만 적용합니다(CH4·N2O는 산화계수 미적용, 제2조24호·정의 참조).</t>
        </is>
      </c>
    </row>
    <row r="20">
      <c r="B20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dataValidations count="1">
    <dataValidation sqref="B8:B20" showDropDown="0" showInputMessage="0" showErrorMessage="0" allowBlank="1" errorTitle="연료명이 참조표와 다릅니다" error="참조표에 있는 연료명을 목록에서 고르세요." type="list">
      <formula1>"휘발유(Gasoline),경유(Diesel),LPG-부탄(LPG3호)"</formula1>
    </dataValidation>
  </dataValidation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24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45.109375" customWidth="1" min="2" max="2"/>
    <col width="16" customWidth="1" min="3" max="3"/>
    <col width="18" customWidth="1" min="4" max="4"/>
    <col width="16" customWidth="1" min="5" max="6"/>
  </cols>
  <sheetData>
    <row r="2" ht="17.4" customHeight="1">
      <c r="B2" s="18" t="inlineStr">
        <is>
          <t>Scope 2 — 구매전력 배출량 산정 (발전단 보고 · 소비단 참고)</t>
        </is>
      </c>
    </row>
    <row r="3">
      <c r="B3" s="85" t="inlineStr">
        <is>
          <t>Scope2 보고는 발전단(LB) 계수를 씁니다. 소비단은 참고값입니다. 소비단은 발전단에 송배전 손실을 반영한 값으로 **여전히 지역 기준**이며, REC·PPA 같은 계약 수단을 반영하는 시장 기준(MB)과는 다른 개념입니다.</t>
        </is>
      </c>
    </row>
    <row r="6" ht="30" customHeight="1">
      <c r="B6" s="12" t="inlineStr">
        <is>
          <t>항목</t>
        </is>
      </c>
      <c r="C6" s="12" t="inlineStr">
        <is>
          <t>단위</t>
        </is>
      </c>
      <c r="D6" s="12" t="inlineStr">
        <is>
          <t>활동량(입력)</t>
        </is>
      </c>
      <c r="E6" s="12" t="inlineStr">
        <is>
          <t>배출계수
(tCO2eq/MWh)</t>
        </is>
      </c>
      <c r="F6" s="12" t="inlineStr">
        <is>
          <t>배출량(tCO2eq)</t>
        </is>
      </c>
    </row>
    <row r="7">
      <c r="B7" s="36" t="inlineStr">
        <is>
          <t>구매전력 — 발전단(LB, Location-Based) 기준</t>
        </is>
      </c>
      <c r="C7" s="23" t="inlineStr">
        <is>
          <t>kWh</t>
        </is>
      </c>
      <c r="D7" s="24" t="n"/>
      <c r="E7" s="23" t="n">
        <v>0.3844</v>
      </c>
      <c r="F7" s="37">
        <f>D7/1000*E7</f>
        <v/>
      </c>
    </row>
    <row r="8">
      <c r="B8" s="38" t="inlineStr">
        <is>
          <t>구매전력 — 소비단 기준(참고)</t>
        </is>
      </c>
      <c r="C8" s="23" t="inlineStr">
        <is>
          <t>kWh</t>
        </is>
      </c>
      <c r="D8" s="39">
        <f>D7</f>
        <v/>
      </c>
      <c r="E8" s="23" t="n">
        <v>0.4173</v>
      </c>
      <c r="F8" s="37">
        <f>D8/1000*E8</f>
        <v/>
      </c>
    </row>
    <row r="10">
      <c r="B10" s="38" t="inlineStr">
        <is>
          <t>재생에너지 구매(REC·PPA·녹색프리미엄) — 참고</t>
        </is>
      </c>
      <c r="C10" s="23" t="inlineStr">
        <is>
          <t>kWh</t>
        </is>
      </c>
      <c r="D10" s="24" t="n"/>
      <c r="E10" s="23" t="n">
        <v>0</v>
      </c>
      <c r="F10" s="37" t="n">
        <v>0</v>
      </c>
    </row>
    <row r="12">
      <c r="B12" s="40" t="inlineStr">
        <is>
          <t>Scope2 최종 배출량 — LB 기준(보고용 원칙)</t>
        </is>
      </c>
      <c r="C12" s="41" t="n"/>
      <c r="D12" s="41" t="n"/>
      <c r="E12" s="41" t="n"/>
      <c r="F12" s="42">
        <f>F7</f>
        <v/>
      </c>
    </row>
    <row r="13">
      <c r="B13" s="43" t="inlineStr">
        <is>
          <t>재생에너지 반영 참고 배출량 (합계 미포함)</t>
        </is>
      </c>
      <c r="C13" s="41" t="inlineStr">
        <is>
          <t>(구매전력 − 재생에너지) ÷ 1000 × 발전단 계수</t>
        </is>
      </c>
      <c r="D13" s="41" t="n"/>
      <c r="E13" s="41" t="n"/>
      <c r="F13" s="37">
        <f>MAX((D7-D10)/1000*E7,0)</f>
        <v/>
      </c>
    </row>
    <row r="16" ht="15" customHeight="1">
      <c r="B16" s="55" t="inlineStr">
        <is>
          <t>출처: 전력배출계수(발전단 0.3844 / 소비단 0.4173 tCO2eq/MWh)는 기후에너지환경부 2025년 12월 공표 2023년 확정치입니다. 매년 갱신되므로 사용 시점마다 gir.go.kr에서 최신값을 재확인하세요.  |  다음 공표: 2026년 12월(2024년 확정치) 예정</t>
        </is>
      </c>
    </row>
    <row r="17"/>
    <row r="18"/>
    <row r="20">
      <c r="B20" s="83" t="inlineStr">
        <is>
          <t>자가 태양광 (있으면 입력 — 감축 실적이 보이도록)</t>
        </is>
      </c>
    </row>
    <row r="21">
      <c r="B21" s="86" t="inlineStr">
        <is>
          <t>자가 태양광 발전량</t>
        </is>
      </c>
      <c r="C21" s="86" t="inlineStr">
        <is>
          <t>kWh</t>
        </is>
      </c>
      <c r="D21" s="87" t="n"/>
    </row>
    <row r="22">
      <c r="B22" s="86" t="inlineStr">
        <is>
          <t>그중 자가소비량</t>
        </is>
      </c>
      <c r="C22" s="86" t="inlineStr">
        <is>
          <t>kWh</t>
        </is>
      </c>
      <c r="D22" s="87" t="n"/>
    </row>
    <row r="23">
      <c r="B23" s="86" t="inlineStr">
        <is>
          <t>회피 배출량 (참고, 합계 미포함)</t>
        </is>
      </c>
      <c r="C23" s="86" t="inlineStr">
        <is>
          <t>tCO2eq</t>
        </is>
      </c>
      <c r="D23" s="88">
        <f>D22/1000*E7</f>
        <v/>
      </c>
    </row>
    <row r="24">
      <c r="B24" s="77" t="inlineStr">
        <is>
          <t>* 회피 배출량은 참고값이며 ⑥종합요약 합계에 넣지 않습니다. 태양광이 있으면 구매전력이 줄어 배출이 낮게 나오는데, 왜 낮은지가 보이도록 따로 적습니다.</t>
        </is>
      </c>
    </row>
  </sheetData>
  <mergeCells count="1">
    <mergeCell ref="B16:F18"/>
  </mergeCells>
  <pageMargins left="0.75" right="0.75" top="1" bottom="1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E2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2" customWidth="1" min="2" max="2"/>
    <col width="20" customWidth="1" min="3" max="3"/>
    <col width="18" customWidth="1" min="4" max="4"/>
    <col width="30" customWidth="1" min="5" max="5"/>
  </cols>
  <sheetData>
    <row r="2" ht="17.4" customHeight="1">
      <c r="B2" s="18" t="inlineStr">
        <is>
          <t>Scope 1+2 종합 요약</t>
        </is>
      </c>
    </row>
    <row r="3">
      <c r="B3" s="10" t="inlineStr">
        <is>
          <t>아래 표는 각 시트의 합계를 자동으로 불러옵니다(직접 입력 금지 — 전부 링크 수식).</t>
        </is>
      </c>
    </row>
    <row r="4">
      <c r="B4" t="inlineStr">
        <is>
          <t>대상:          |  기준연도:      년  |  작성일:</t>
        </is>
      </c>
    </row>
    <row r="5">
      <c r="B5" t="inlineStr">
        <is>
          <t>노란 셀에 활동량만 적으시면 나머지는 자동으로 계산됩니다.</t>
        </is>
      </c>
    </row>
    <row r="6">
      <c r="B6" s="12" t="inlineStr">
        <is>
          <t>구분</t>
        </is>
      </c>
      <c r="C6" s="12" t="inlineStr">
        <is>
          <t>배출원</t>
        </is>
      </c>
      <c r="D6" s="12" t="inlineStr">
        <is>
          <t>배출량(tCO2eq)</t>
        </is>
      </c>
      <c r="E6" s="12" t="inlineStr">
        <is>
          <t>비고</t>
        </is>
      </c>
    </row>
    <row r="7">
      <c r="B7" s="43" t="inlineStr">
        <is>
          <t>Scope 1</t>
        </is>
      </c>
      <c r="C7" s="38" t="inlineStr">
        <is>
          <t>고정연소</t>
        </is>
      </c>
      <c r="D7" s="67">
        <f>③Scope1_고정연소!O16</f>
        <v/>
      </c>
      <c r="E7" s="45" t="inlineStr">
        <is>
          <t>보일러 등</t>
        </is>
      </c>
    </row>
    <row r="8">
      <c r="B8" s="43" t="inlineStr">
        <is>
          <t>Scope 1</t>
        </is>
      </c>
      <c r="C8" s="38" t="inlineStr">
        <is>
          <t>이동연소</t>
        </is>
      </c>
      <c r="D8" s="67">
        <f>④Scope1_이동연소!O15</f>
        <v/>
      </c>
      <c r="E8" s="45" t="inlineStr">
        <is>
          <t>사업장 차량</t>
        </is>
      </c>
    </row>
    <row r="9">
      <c r="B9" s="43" t="inlineStr">
        <is>
          <t>Scope 2</t>
        </is>
      </c>
      <c r="C9" s="38" t="inlineStr">
        <is>
          <t>전력(LB 기준)</t>
        </is>
      </c>
      <c r="D9" s="67">
        <f>⑤Scope2_전력!F12</f>
        <v/>
      </c>
      <c r="E9" s="45" t="inlineStr">
        <is>
          <t>보고용 원칙</t>
        </is>
      </c>
    </row>
    <row r="10">
      <c r="B10" s="46" t="inlineStr">
        <is>
          <t>합계</t>
        </is>
      </c>
      <c r="C10" s="41" t="n"/>
      <c r="D10" s="68">
        <f>SUM(D7:D9)</f>
        <v/>
      </c>
      <c r="E10" s="41" t="n"/>
    </row>
    <row r="13">
      <c r="B13" s="7" t="inlineStr">
        <is>
          <t>Scope2 참고 — 소비단 기준(합계 미포함)</t>
        </is>
      </c>
      <c r="D13" s="69">
        <f>⑤Scope2_전력!F8</f>
        <v/>
      </c>
    </row>
    <row r="15">
      <c r="B15" s="6" t="inlineStr">
        <is>
          <t>Scope1 참고 — AR6(CBAM·ISSB 등 국제보고용) 기준</t>
        </is>
      </c>
    </row>
    <row r="16">
      <c r="B16" s="3" t="inlineStr">
        <is>
          <t>고정연소(AR6)</t>
        </is>
      </c>
      <c r="D16" s="69">
        <f>③Scope1_고정연소!Q16</f>
        <v/>
      </c>
    </row>
    <row r="17">
      <c r="B17" s="3" t="inlineStr">
        <is>
          <t>이동연소(AR6)</t>
        </is>
      </c>
      <c r="D17" s="69">
        <f>④Scope1_이동연소!Q15</f>
        <v/>
      </c>
    </row>
    <row r="18">
      <c r="B18" s="49" t="inlineStr">
        <is>
          <t>AR5 대비 AR6 차이(참고)</t>
        </is>
      </c>
      <c r="D18" s="70">
        <f>(D16+D17)-(D7+D8)</f>
        <v/>
      </c>
    </row>
    <row r="21">
      <c r="B21" s="83" t="inlineStr">
        <is>
          <t>Tier 적용현황</t>
        </is>
      </c>
    </row>
    <row r="22">
      <c r="B22" s="89" t="inlineStr">
        <is>
          <t>연료 / 배출원</t>
        </is>
      </c>
      <c r="C22" s="89" t="inlineStr">
        <is>
          <t>CO2 계수</t>
        </is>
      </c>
      <c r="D22" s="89" t="inlineStr">
        <is>
          <t>CH4·N2O 계수</t>
        </is>
      </c>
      <c r="E22" s="89" t="inlineStr">
        <is>
          <t>산화계수</t>
        </is>
      </c>
    </row>
    <row r="23">
      <c r="B23" s="90" t="inlineStr">
        <is>
          <t>도시가스 (보일러)</t>
        </is>
      </c>
      <c r="C23" s="90" t="inlineStr">
        <is>
          <t>Tier 2 (별표12)</t>
        </is>
      </c>
      <c r="D23" s="90" t="inlineStr">
        <is>
          <t>Tier 1 (별표10 상업·공공)</t>
        </is>
      </c>
      <c r="E23" s="90" t="inlineStr">
        <is>
          <t>Tier 2 (0.995)</t>
        </is>
      </c>
    </row>
    <row r="24">
      <c r="B24" s="90" t="inlineStr">
        <is>
          <t>등유 (보일러)</t>
        </is>
      </c>
      <c r="C24" s="90" t="inlineStr">
        <is>
          <t>Tier 2 (별표12)</t>
        </is>
      </c>
      <c r="D24" s="90" t="inlineStr">
        <is>
          <t>Tier 1 (별표10 상업·공공)</t>
        </is>
      </c>
      <c r="E24" s="90" t="inlineStr">
        <is>
          <t>Tier 2 (0.99)</t>
        </is>
      </c>
    </row>
    <row r="25">
      <c r="B25" s="90" t="inlineStr">
        <is>
          <t>LPG (보일러)</t>
        </is>
      </c>
      <c r="C25" s="90" t="inlineStr">
        <is>
          <t>Tier 2 (별표12)</t>
        </is>
      </c>
      <c r="D25" s="90" t="inlineStr">
        <is>
          <t>Tier 1 (별표10 상업·공공)</t>
        </is>
      </c>
      <c r="E25" s="90" t="inlineStr">
        <is>
          <t>Tier 2 (0.995)</t>
        </is>
      </c>
    </row>
    <row r="26">
      <c r="B26" s="90" t="inlineStr">
        <is>
          <t>화목 (보일러)</t>
        </is>
      </c>
      <c r="C26" s="90" t="inlineStr">
        <is>
          <t>Tier 1 (별표10, 생물기원·합계 제외)</t>
        </is>
      </c>
      <c r="D26" s="90" t="inlineStr">
        <is>
          <t>Tier 1 (별표10 상업·공공)</t>
        </is>
      </c>
      <c r="E26" s="90" t="inlineStr">
        <is>
          <t>Tier 1 (1.0)</t>
        </is>
      </c>
    </row>
    <row r="27">
      <c r="B27" s="90" t="inlineStr">
        <is>
          <t>휘발유·경유 (차량)</t>
        </is>
      </c>
      <c r="C27" s="90" t="inlineStr">
        <is>
          <t>Tier 2 (별표12)</t>
        </is>
      </c>
      <c r="D27" s="90" t="inlineStr">
        <is>
          <t>Tier 1 (별표6 &lt;표-4&gt; 도로)</t>
        </is>
      </c>
      <c r="E27" s="90" t="inlineStr">
        <is>
          <t>해당 없음</t>
        </is>
      </c>
    </row>
    <row r="28">
      <c r="B28" s="90" t="inlineStr">
        <is>
          <t>구매전력</t>
        </is>
      </c>
      <c r="C28" s="90" t="inlineStr">
        <is>
          <t>국가 전력배출계수 (발전단 LB)</t>
        </is>
      </c>
      <c r="D28" s="90" t="inlineStr">
        <is>
          <t>해당 없음</t>
        </is>
      </c>
      <c r="E28" s="90" t="inlineStr">
        <is>
          <t>해당 없음</t>
        </is>
      </c>
    </row>
  </sheetData>
  <pageMargins left="0.75" right="0.75" top="1" bottom="1" header="0.511811023622047" footer="0.511811023622047"/>
  <pageSetup orientation="portrait" paperSize="9" scale="94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I21"/>
  <sheetViews>
    <sheetView tabSelected="1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0" customWidth="1" min="2" max="2"/>
    <col width="61" customWidth="1" min="3" max="3"/>
    <col width="29" customWidth="1" min="4" max="4"/>
  </cols>
  <sheetData>
    <row r="2" ht="17.4" customHeight="1">
      <c r="B2" s="1" t="inlineStr">
        <is>
          <t>적용 범위와 근거 조항</t>
        </is>
      </c>
    </row>
    <row r="3">
      <c r="B3" s="10" t="inlineStr">
        <is>
          <t>「온실가스 배출권거래제의 배출량 보고 및 인증에 관한 지침」(환경부고시 제2025-64호, 2025.4.11. 시행)</t>
        </is>
      </c>
    </row>
    <row r="5" ht="46" customHeight="1">
      <c r="B5" s="77" t="inlineStr">
        <is>
          <t>적용 범위 — 이 산정은 위 지침의 산정방법을 **준용한 자발적 산정**이며, 할당대상업체의 명세서가 아닙니다. 범위는 Scope 1(고정·이동연소)과 Scope 2(구매전력)이고, Scope 3(상수도·폐기물 등)은 포함하지 않습니다. CH4·N2O 계수는 별표10의 업종 기준에 따라 상업·공공(한국표준산업분류 중분류 94 — 협회 및 단체, 종교단체 포함)을 적용했습니다.</t>
        </is>
      </c>
    </row>
    <row r="6" ht="19.5" customHeight="1"/>
    <row r="7" ht="33.75" customHeight="1"/>
    <row r="8" ht="33.75" customHeight="1">
      <c r="B8" s="36" t="n"/>
      <c r="C8" s="51" t="n"/>
      <c r="D8" s="52" t="n"/>
    </row>
    <row r="9" ht="33.75" customHeight="1">
      <c r="B9" s="36" t="n"/>
      <c r="C9" s="51" t="n"/>
      <c r="D9" s="52" t="n"/>
    </row>
    <row r="10" ht="33.75" customHeight="1">
      <c r="B10" s="36" t="inlineStr">
        <is>
          <t>제15조①②(계수활용)</t>
        </is>
      </c>
      <c r="C10" s="53" t="inlineStr">
        <is>
          <t>Tier1은 별표10+11, Tier2는 국가고유(별표12)를 세트로 사용</t>
        </is>
      </c>
      <c r="D10" s="52" t="inlineStr">
        <is>
          <t>②참조표를 Tier2(별표12) 세트로 통일 구성</t>
        </is>
      </c>
    </row>
    <row r="11" ht="33.75" customHeight="1">
      <c r="B11" s="36" t="inlineStr">
        <is>
          <t>제22조(적용특례)</t>
        </is>
      </c>
      <c r="C11" s="51" t="inlineStr">
        <is>
          <t>국가고유 계수가 미고시된 경우에 한해 예외적으로 Tier1 허용</t>
        </is>
      </c>
      <c r="D11" s="52" t="inlineStr">
        <is>
          <t>②참조표에 없는 연료는 별표10 값을 사유와 함께 추가</t>
        </is>
      </c>
    </row>
    <row r="12" ht="33.75" customHeight="1">
      <c r="B12" s="36" t="inlineStr">
        <is>
          <t>제24조(산정계획)</t>
        </is>
      </c>
      <c r="C12" s="51" t="inlineStr">
        <is>
          <t>매개변수(활동자료·배출계수·발열량·산화율)를 각각 관리해야 한다</t>
        </is>
      </c>
      <c r="D12" s="52" t="inlineStr">
        <is>
          <t>③④시트에서 5단계를 모두 별도 열로 분리 표시</t>
        </is>
      </c>
    </row>
    <row r="15">
      <c r="B15" s="54" t="n"/>
    </row>
    <row r="16">
      <c r="B16" s="12" t="n"/>
      <c r="C16" s="12" t="n"/>
      <c r="D16" s="12" t="n"/>
      <c r="E16" s="12" t="n"/>
    </row>
    <row r="17">
      <c r="B17" s="31" t="n"/>
      <c r="C17" s="31" t="n"/>
      <c r="D17" s="31" t="n"/>
      <c r="E17" s="31" t="n"/>
    </row>
    <row r="18">
      <c r="B18" s="31" t="n"/>
      <c r="C18" s="31" t="n"/>
      <c r="D18" s="31" t="n"/>
      <c r="E18" s="31" t="n"/>
    </row>
    <row r="19">
      <c r="B19" s="31" t="n"/>
      <c r="C19" s="31" t="n"/>
      <c r="D19" s="31" t="n"/>
      <c r="E19" s="31" t="n"/>
    </row>
    <row r="20">
      <c r="B20" s="31" t="n"/>
      <c r="C20" s="31" t="n"/>
      <c r="D20" s="31" t="n"/>
      <c r="E20" s="31" t="n"/>
    </row>
    <row r="21">
      <c r="B21" s="31" t="n"/>
      <c r="C21" s="31" t="n"/>
      <c r="D21" s="31" t="n"/>
      <c r="E21" s="31" t="n"/>
    </row>
  </sheetData>
  <mergeCells count="1">
    <mergeCell ref="B5:I7"/>
  </mergeCells>
  <pageMargins left="0.75" right="0.75" top="1" bottom="1" header="0.511811023622047" footer="0.511811023622047"/>
  <pageSetup orientation="portrait" paperSize="9" scale="72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2026-08-02T10:00:47Z</dcterms:created>
  <dcterms:modified xsi:type="dcterms:W3CDTF">2026-10-24T04:34:22Z</dcterms:modified>
  <cp:lastModifiedBy>Main</cp:lastModifiedBy>
  <cp:revision>0</cp:revision>
  <cp:lastPrinted>2026-08-02T10:34:16Z</cp:lastPrinted>
</cp:coreProperties>
</file>